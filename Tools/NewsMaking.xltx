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0" yWindow="90" windowWidth="19440" windowHeight="8235"/>
  </bookViews>
  <sheets>
    <sheet name="News20121018" sheetId="12" r:id="rId1"/>
  </sheets>
  <definedNames>
    <definedName name="OLE_LINK1" localSheetId="0">News20121018!$E$2</definedName>
  </definedNames>
  <calcPr calcId="145621" iterate="1"/>
</workbook>
</file>

<file path=xl/calcChain.xml><?xml version="1.0" encoding="utf-8"?>
<calcChain xmlns="http://schemas.openxmlformats.org/spreadsheetml/2006/main">
  <c r="D44" i="12" l="1"/>
  <c r="C44" i="12" s="1"/>
  <c r="A44" i="12"/>
  <c r="D43" i="12"/>
  <c r="C43" i="12"/>
  <c r="A43" i="12"/>
  <c r="D42" i="12"/>
  <c r="C42" i="12" s="1"/>
  <c r="A42" i="12"/>
  <c r="D41" i="12"/>
  <c r="C41" i="12"/>
  <c r="A41" i="12"/>
  <c r="D40" i="12"/>
  <c r="C40" i="12" s="1"/>
  <c r="A40" i="12"/>
  <c r="D39" i="12"/>
  <c r="C39" i="12"/>
  <c r="A39" i="12"/>
  <c r="D38" i="12"/>
  <c r="C38" i="12" s="1"/>
  <c r="A38" i="12"/>
  <c r="D37" i="12"/>
  <c r="C37" i="12"/>
  <c r="A37" i="12"/>
  <c r="D36" i="12"/>
  <c r="C36" i="12" s="1"/>
  <c r="A36" i="12"/>
  <c r="D35" i="12"/>
  <c r="C35" i="12"/>
  <c r="A35" i="12"/>
  <c r="D34" i="12"/>
  <c r="C34" i="12" s="1"/>
  <c r="A34" i="12"/>
  <c r="D33" i="12"/>
  <c r="C33" i="12"/>
  <c r="A33" i="12"/>
  <c r="D32" i="12"/>
  <c r="C32" i="12" s="1"/>
  <c r="A32" i="12"/>
  <c r="D31" i="12"/>
  <c r="C31" i="12"/>
  <c r="A31" i="12"/>
  <c r="D30" i="12"/>
  <c r="C30" i="12" s="1"/>
  <c r="A30" i="12"/>
  <c r="D29" i="12"/>
  <c r="C29" i="12"/>
  <c r="A29" i="12"/>
  <c r="D28" i="12"/>
  <c r="C28" i="12" s="1"/>
  <c r="A28" i="12"/>
  <c r="D27" i="12"/>
  <c r="C27" i="12"/>
  <c r="A27" i="12"/>
  <c r="D26" i="12"/>
  <c r="C26" i="12" s="1"/>
  <c r="A26" i="12"/>
  <c r="D25" i="12"/>
  <c r="C25" i="12"/>
  <c r="A25" i="12"/>
  <c r="D24" i="12"/>
  <c r="C24" i="12" s="1"/>
  <c r="A24" i="12"/>
  <c r="D23" i="12"/>
  <c r="C23" i="12"/>
  <c r="B23" i="12"/>
  <c r="A23" i="12"/>
  <c r="D22" i="12"/>
  <c r="C22" i="12"/>
  <c r="A22" i="12"/>
  <c r="B22" i="12" s="1"/>
  <c r="D21" i="12"/>
  <c r="C21" i="12"/>
  <c r="B21" i="12"/>
  <c r="A21" i="12"/>
  <c r="D20" i="12"/>
  <c r="C20" i="12"/>
  <c r="A20" i="12"/>
  <c r="B20" i="12" s="1"/>
  <c r="D19" i="12"/>
  <c r="C19" i="12"/>
  <c r="B19" i="12"/>
  <c r="A19" i="12"/>
  <c r="D18" i="12"/>
  <c r="C18" i="12"/>
  <c r="A18" i="12"/>
  <c r="B18" i="12" s="1"/>
  <c r="D17" i="12"/>
  <c r="C17" i="12"/>
  <c r="B17" i="12"/>
  <c r="A17" i="12"/>
  <c r="D16" i="12"/>
  <c r="C16" i="12"/>
  <c r="A16" i="12"/>
  <c r="B16" i="12" s="1"/>
  <c r="D15" i="12"/>
  <c r="C15" i="12"/>
  <c r="B15" i="12"/>
  <c r="A15" i="12"/>
  <c r="D14" i="12"/>
  <c r="C14" i="12"/>
  <c r="A14" i="12"/>
  <c r="B14" i="12" s="1"/>
  <c r="D13" i="12"/>
  <c r="C13" i="12"/>
  <c r="B13" i="12"/>
  <c r="A13" i="12"/>
  <c r="D12" i="12"/>
  <c r="C12" i="12"/>
  <c r="A12" i="12"/>
  <c r="B12" i="12" s="1"/>
  <c r="D11" i="12"/>
  <c r="C11" i="12"/>
  <c r="B11" i="12"/>
  <c r="A11" i="12"/>
  <c r="D10" i="12"/>
  <c r="C10" i="12"/>
  <c r="A10" i="12"/>
  <c r="B10" i="12" s="1"/>
  <c r="D9" i="12"/>
  <c r="C9" i="12"/>
  <c r="B9" i="12"/>
  <c r="A9" i="12"/>
  <c r="D8" i="12"/>
  <c r="C8" i="12"/>
  <c r="A8" i="12"/>
  <c r="B8" i="12" s="1"/>
  <c r="D7" i="12"/>
  <c r="C7" i="12"/>
  <c r="B7" i="12"/>
  <c r="A7" i="12"/>
  <c r="D6" i="12"/>
  <c r="C6" i="12"/>
  <c r="A6" i="12"/>
  <c r="B6" i="12" s="1"/>
  <c r="D5" i="12"/>
  <c r="C5" i="12"/>
  <c r="B5" i="12"/>
  <c r="A5" i="12"/>
  <c r="D4" i="12"/>
  <c r="C4" i="12"/>
  <c r="A4" i="12"/>
  <c r="B4" i="12" s="1"/>
  <c r="D3" i="12"/>
  <c r="C3" i="12"/>
  <c r="B3" i="12"/>
  <c r="A3" i="12"/>
  <c r="D2" i="12"/>
  <c r="C2" i="12"/>
  <c r="A2" i="12"/>
  <c r="B2" i="12" s="1"/>
  <c r="C1" i="12"/>
</calcChain>
</file>

<file path=xl/sharedStrings.xml><?xml version="1.0" encoding="utf-8"?>
<sst xmlns="http://schemas.openxmlformats.org/spreadsheetml/2006/main" count="25" uniqueCount="25">
  <si>
    <t>INDUSTRY NEWS</t>
  </si>
  <si>
    <t>浏览ASPE分会的网页增加知识</t>
  </si>
  <si>
    <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t>
  </si>
  <si>
    <t>美国每年需要1570亿美元来填补基础设施投资的缺口</t>
  </si>
  <si>
    <t>Between now and 2020, investment needs across key infrastructure sectors-including roads, bridges, power lines, sewer systems, ports, and waterways-total $2.75 trillion, while planned expenditures are about $1.66 trillion, leaving an investment gap of $1.1 trillion, according to a new ASCE report. However, with an additional investment of $157 billion a year between now and 2020, 3.5 million jobs and $3.1 trillion in GDP can be saved. &lt;a href="http://www.asce.org/failuretoact/"&gt;（阅读原文）&lt;/a&gt;</t>
  </si>
  <si>
    <t>鼓励节水的提案</t>
  </si>
  <si>
    <t>H.R. 123: Water Advanced Technologies for Efficient Resource Use Act of 2013 would establish within the EPA a WaterSense program to identify and promote water-efficient products, buildings, landscapes, and services to reduce water use, conserve energy, and preserve water resources. &lt;a href="http://thomas.loc.gov/cgi-bin/query/z?c113:H.R.+123:"&gt;（阅读原文）&lt;/a&gt; </t>
  </si>
  <si>
    <t>全国水资源统一管理好吗?</t>
  </si>
  <si>
    <t>A new research report by the American Water Resources Association explores efforts in several states to implement integrated water resources management (IWRM), highlighting its effectiveness at all levels of water management, the process of shifting to an IWRM approach, costs and benefits, and how it could be a common-sense approach for managing water in the United States. &lt;a href="http://www.awra.org/committees/AWRA-Case-Studies-IWRM.pdf"&gt;（阅读原文）&lt;/a&gt;</t>
  </si>
  <si>
    <t>居民护理设施设计规范征求公众意见 </t>
  </si>
  <si>
    <t>The Facility Guidelines Institute seeks comments on a new standard, Guidelines for Design and Construction of Residential Health, Care, and Support Facilities, which provides minimum recommendations for new construction and renovation of nursing homes, hospice facilities, assisted living facilities, independent living settings, adult daycare facilities, wellness centers, and outpatient rehabilitation centers. Comments are due by March 20. &lt;a href="http://www.fgiguidelines.org/pdfs/FGI_Guidelines_residential_pressrelease_130118.pdf"&gt;（阅读原文）&lt;/a&gt;</t>
  </si>
  <si>
    <t>哪一州有LEED证书的绿色建筑面积最多？</t>
  </si>
  <si>
    <t>Virginia tops the list, although on a per-capita basis, Washington, D.C. is the leader, with 36.97 square feet of LEED space certified per resident in 2012, according to the USGBC's Top States for LEED in 2012 ranking. &lt;a href="http://new.usgbc.org/articles/usgbc-releases-2012-list-top-10-states-leed"&gt;（阅读原文）&lt;/a&gt;</t>
  </si>
  <si>
    <t>2013年NFPA 国际会议和展览会开始注册</t>
  </si>
  <si>
    <t>The event, being held June 10-13 in Chicago, will feature education sessions, association technical meetings, and a fire, security, and life safety product exposition. The early bird registration rate ends April 26. &lt;a href="http://www.nfpa.org/categorylistconf.asp?categoryID=1600"&gt;（阅读原文）&lt;/a&gt;</t>
  </si>
  <si>
    <t xml:space="preserve">ASHRAE征求2014年冬季会议录论文 </t>
  </si>
  <si>
    <t>ASHRAE's 2014 Winter Conference will be held in New York City on January 18-22. The Conference has a building-oriented theme and seeks papers on building information systems, environmental health, international design, HVAC&amp;R applications and systems, and, featured for this Conference, tall building performance. &lt;a href="http://ashraem.confex.com/ashraem/w14/cfp.cgi"&gt;（阅读原文）&lt;/a&gt;</t>
  </si>
  <si>
    <t>IAPMO宣布2013年奖学金比赛 </t>
  </si>
  <si>
    <t>The competition is open to members-and their children-of IAPMO, ASPE, PHCC, MCAA, UA, and ASSE who are currently enrolled in a high school, community college, trade school, or four-year accredited college or university or working in an apprentice program. Participants must submit an original essay (1,000 words minimum) on "Which steps can the plumbing/mechanical industries take to encourage businesses and individuals to go green?" The first prize is a $1,000 scholarship and a one-year paid membership to IAPMO. Send your essay, including your name, your school's name, and yours or your parent's professional affiliation with one of the qualifying trade associations or union locals, to Gabriella Davis by June 1. &lt;a href="gaby.davis@iapmo.org"&gt;（阅读原文）&lt;/a&gt;</t>
  </si>
  <si>
    <t>新版世界水务协会评论发行</t>
  </si>
  <si>
    <t>Learn about new water treatment system regulations in the UK, ISH 2013-The World's Leading Trade Fair for the Bathroom Experience, Building Services, Energy, Air-Conditioning Technology, and Renewable Energies, and more in the December 2012 issue of WPC Review. &lt;a href="http://aspe.org/sites/default/files/webfm/WPC_REVIEW_December_2012.pdf"&gt;（阅读原文）&lt;/a&gt;</t>
  </si>
  <si>
    <t>加拿大主要组织联合庆祝世界建筑给水排水日</t>
  </si>
  <si>
    <t>The Canadian Institute of Plumbing &amp; Heating and the Mechanical Contractors Association of Canada are joining other Canadian members of the WPC to promote World Plumbing Day by providing content and other promotional efforts and PowerPoint presentations for school discussions. Representatives also will be approaching government officials for their support and assistance. More&gt;&gt; &lt;a href="http://ciph.com/emailLinks/world_plumbing_day_media_release_with_brochure_link_-en.pdf"&gt;（阅读原文）&lt;/a&gt;</t>
  </si>
  <si>
    <t>Design-Aire工程公司庆祝成立30周年</t>
  </si>
  <si>
    <t>Design-Aire Engineering is a Service-Disabled Veteran-Owned Small Business, multi-discipline engineering consulting firm licensed in 25 states and specializing in MEP, refrigeration, fire protection, and energy efficiency. It has completed MEP design for 2,203 projects and 125 energy audits with an average cost savings of 15 percent as the sole energy-efficiency auditor for the State of Indiana Energy Office (2000-2005). The company was awarded the BKD Indiana Excellence Award in 2007 for helping 23 companies receive $9 million in tax deductions, and President E.W. "Bob" Boulware, PE, is the past president of ARCSA and recently published Alternative Water Source and Wastewater Management. &lt;a href=" http://www.daengineering.com/"&gt;（阅读原文）&lt;/a&gt;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</si>
</sst>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u/>
      <sz val="11"/>
      <color theme="10"/>
      <name val="Calibri"/>
      <family val="2"/>
    </font>
    <font>
      <sz val="8"/>
      <color theme="1"/>
      <name val="Calibri"/>
      <family val="2"/>
      <scheme val="minor"/>
    </font>
    <font>
      <sz val="8"/>
      <color rgb="FFFF0000"/>
      <name val="Calibri"/>
      <family val="2"/>
      <scheme val="minor"/>
    </font>
    <font>
      <sz val="8"/>
      <name val="Calibri"/>
      <family val="2"/>
      <scheme val="minor"/>
    </font>
    <font>
      <sz val="8"/>
      <name val="宋体"/>
      <charset val="134"/>
    </font>
    <font>
      <u/>
      <sz val="8"/>
      <name val="Calibri"/>
      <family val="2"/>
    </font>
    <font>
      <sz val="8"/>
      <name val="Arial"/>
      <family val="2"/>
    </font>
    <font>
      <sz val="8"/>
      <name val="Trebuchet MS"/>
      <family val="2"/>
    </font>
  </fonts>
  <fills count="5">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0" tint="-0.499984740745262"/>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
    <xf numFmtId="0" fontId="0" fillId="0" borderId="0" xfId="0"/>
    <xf numFmtId="0" fontId="2" fillId="0" borderId="0" xfId="0" applyFont="1" applyAlignment="1">
      <alignment horizontal="left" vertical="top" wrapText="1"/>
    </xf>
    <xf numFmtId="0" fontId="2" fillId="4" borderId="0" xfId="0" applyFont="1" applyFill="1" applyAlignment="1">
      <alignment horizontal="left" vertical="top" wrapText="1"/>
    </xf>
    <xf numFmtId="14" fontId="3" fillId="0" borderId="0" xfId="0" applyNumberFormat="1" applyFont="1" applyAlignment="1">
      <alignment horizontal="left" vertical="top" wrapText="1"/>
    </xf>
    <xf numFmtId="0" fontId="2" fillId="0" borderId="0" xfId="0" applyFont="1"/>
    <xf numFmtId="0" fontId="2" fillId="3" borderId="0" xfId="0" applyFont="1" applyFill="1" applyAlignment="1">
      <alignment horizontal="left" vertical="top" wrapText="1"/>
    </xf>
    <xf numFmtId="0" fontId="2" fillId="3" borderId="0" xfId="0" applyFont="1" applyFill="1"/>
    <xf numFmtId="0" fontId="2" fillId="0" borderId="0" xfId="0" applyFont="1" applyAlignment="1">
      <alignment horizontal="left" vertical="top"/>
    </xf>
    <xf numFmtId="0" fontId="2" fillId="4" borderId="0" xfId="0" applyFont="1" applyFill="1" applyAlignment="1">
      <alignment wrapText="1"/>
    </xf>
    <xf numFmtId="0" fontId="4" fillId="2" borderId="0" xfId="0" applyFont="1" applyFill="1" applyAlignment="1">
      <alignment horizontal="left" vertical="top" wrapText="1"/>
    </xf>
    <xf numFmtId="0" fontId="2" fillId="0" borderId="0" xfId="0" applyFont="1" applyAlignment="1">
      <alignment vertical="top"/>
    </xf>
    <xf numFmtId="0" fontId="2" fillId="3" borderId="0" xfId="0" applyFont="1" applyFill="1" applyAlignment="1">
      <alignment vertical="top"/>
    </xf>
    <xf numFmtId="0" fontId="4" fillId="2" borderId="0" xfId="0" applyNumberFormat="1" applyFont="1" applyFill="1" applyAlignment="1">
      <alignment horizontal="left" vertical="top" wrapText="1"/>
    </xf>
    <xf numFmtId="14" fontId="4" fillId="0" borderId="0" xfId="0" applyNumberFormat="1" applyFont="1" applyAlignment="1">
      <alignment horizontal="left" vertical="top" wrapText="1"/>
    </xf>
    <xf numFmtId="0" fontId="5" fillId="0" borderId="0" xfId="0" applyFont="1" applyAlignment="1">
      <alignment wrapText="1"/>
    </xf>
    <xf numFmtId="0" fontId="6" fillId="0" borderId="0" xfId="1" applyNumberFormat="1" applyFont="1" applyAlignment="1" applyProtection="1">
      <alignment wrapText="1"/>
    </xf>
    <xf numFmtId="0" fontId="7" fillId="0" borderId="0" xfId="0" applyFont="1" applyAlignment="1">
      <alignment wrapText="1"/>
    </xf>
    <xf numFmtId="0" fontId="8" fillId="0" borderId="0" xfId="0" applyFont="1" applyAlignment="1">
      <alignment wrapText="1"/>
    </xf>
    <xf numFmtId="0" fontId="5" fillId="0" borderId="0" xfId="0" applyNumberFormat="1" applyFont="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44"/>
  <sheetViews>
    <sheetView tabSelected="1" topLeftCell="A22" zoomScale="98" zoomScaleNormal="98" workbookViewId="0">
      <selection activeCell="C2" sqref="C2:C25"/>
    </sheetView>
  </sheetViews>
  <sheetFormatPr defaultColWidth="42.42578125" defaultRowHeight="11.25" x14ac:dyDescent="0.2"/>
  <cols>
    <col min="1" max="1" width="25.5703125" style="4" customWidth="1"/>
    <col min="2" max="2" width="42.42578125" style="8"/>
    <col min="3" max="3" width="42.42578125" style="4"/>
    <col min="4" max="4" width="42.42578125" style="8"/>
    <col min="5" max="5" width="46.85546875" style="9" customWidth="1"/>
    <col min="6" max="6" width="42.42578125" style="10"/>
    <col min="7" max="16384" width="42.42578125" style="4"/>
  </cols>
  <sheetData>
    <row r="1" spans="1:6" x14ac:dyDescent="0.2">
      <c r="A1" s="1"/>
      <c r="B1" s="2"/>
      <c r="C1" s="3" t="e">
        <f>#REF!</f>
        <v>#REF!</v>
      </c>
      <c r="D1" s="2"/>
      <c r="E1" s="13" t="s">
        <v>0</v>
      </c>
    </row>
    <row r="2" spans="1:6" s="6" customFormat="1" ht="33.75" x14ac:dyDescent="0.2">
      <c r="A2" s="5" t="str">
        <f>IF(LEFT(D2,4)="&lt;h4&gt;","&lt;li&gt;&lt;a href='#"&amp;MID(D2,5,10)&amp;"'&gt;"&amp;MID(D2,5,LEN(E2))&amp;"&lt;/a&gt;&lt;/li&gt;","")</f>
        <v>&lt;li&gt;&lt;a href='#浏览ASPE分会的网'&gt;浏览ASPE分会的网页增加知识&lt;/a&gt;&lt;/li&gt;</v>
      </c>
      <c r="B2" s="2" t="str">
        <f t="shared" ref="B2:B23" si="0">IF(LEFT(D2,4)="&lt;h4&gt;", A2,D2)</f>
        <v>&lt;li&gt;&lt;a href='#浏览ASPE分会的网'&gt;浏览ASPE分会的网页增加知识&lt;/a&gt;&lt;/li&gt;</v>
      </c>
      <c r="C2" s="5" t="str">
        <f>IF(LEFT(D2,4)="&lt;h4&gt;","&lt;h4 id='"&amp;LEFT(E2,10)&amp;"'&gt;"&amp;E2&amp;"&lt;/h4&gt;",D2)</f>
        <v>&lt;h4 id='浏览ASPE分会的网'&gt;浏览ASPE分会的网页增加知识&lt;/h4&gt;</v>
      </c>
      <c r="D2" s="2" t="str">
        <f>"&lt;h4&gt;"&amp;E2&amp;"&lt;/h4&gt;"</f>
        <v>&lt;h4&gt;浏览ASPE分会的网页增加知识&lt;/h4&gt;</v>
      </c>
      <c r="E2" s="14" t="s">
        <v>1</v>
      </c>
      <c r="F2" s="11"/>
    </row>
    <row r="3" spans="1:6" ht="101.25" x14ac:dyDescent="0.2">
      <c r="A3" s="5" t="str">
        <f t="shared" ref="A3:A44" si="1">IF(LEFT(D3,4)="&lt;h4&gt;","&lt;li&gt;&lt;a href='#"&amp;MID(D3,5,10)&amp;"'&gt;"&amp;MID(D3,5,LEN(E3))&amp;"&lt;/a&gt;&lt;/li&gt;","")</f>
        <v/>
      </c>
      <c r="B3" s="2" t="str">
        <f t="shared" si="0"/>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C3" s="5" t="str">
        <f t="shared" ref="C3:C44" si="2">IF(LEFT(D3,4)="&lt;h4&gt;","&lt;h4 id='"&amp;LEFT(E3,10)&amp;"'&gt;"&amp;E3&amp;"&lt;/h4&gt;",D3)</f>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D3" s="2" t="str">
        <f>"&lt;p&gt;"&amp;E3&amp;"&lt;/p&gt;"</f>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E3" s="15" t="s">
        <v>2</v>
      </c>
    </row>
    <row r="4" spans="1:6" s="6" customFormat="1" ht="45" x14ac:dyDescent="0.2">
      <c r="A4" s="5" t="str">
        <f t="shared" si="1"/>
        <v>&lt;li&gt;&lt;a href='#美国每年需要1570'&gt;美国每年需要1570亿美元来填补基础设施投资的缺口&lt;/a&gt;&lt;/li&gt;</v>
      </c>
      <c r="B4" s="2" t="str">
        <f t="shared" si="0"/>
        <v>&lt;li&gt;&lt;a href='#美国每年需要1570'&gt;美国每年需要1570亿美元来填补基础设施投资的缺口&lt;/a&gt;&lt;/li&gt;</v>
      </c>
      <c r="C4" s="5" t="str">
        <f t="shared" si="2"/>
        <v>&lt;h4 id='美国每年需要1570'&gt;美国每年需要1570亿美元来填补基础设施投资的缺口&lt;/h4&gt;</v>
      </c>
      <c r="D4" s="2" t="str">
        <f t="shared" ref="D4" si="3">"&lt;h4&gt;"&amp;E4&amp;"&lt;/h4&gt;"</f>
        <v>&lt;h4&gt;美国每年需要1570亿美元来填补基础设施投资的缺口&lt;/h4&gt;</v>
      </c>
      <c r="E4" s="16" t="s">
        <v>3</v>
      </c>
      <c r="F4" s="11"/>
    </row>
    <row r="5" spans="1:6" ht="112.5" x14ac:dyDescent="0.2">
      <c r="A5" s="5" t="str">
        <f t="shared" si="1"/>
        <v/>
      </c>
      <c r="B5" s="2" t="str">
        <f t="shared" si="0"/>
        <v>&lt;p&gt;Between now and 2020, investment needs across key infrastructure sectors-including roads, bridges, power lines, sewer systems, ports, and waterways-total $2.75 trillion, while planned expenditures are about $1.66 trillion, leaving an investment gap of $1.1 trillion, according to a new ASCE report. However, with an additional investment of $157 billion a year between now and 2020, 3.5 million jobs and $3.1 trillion in GDP can be saved. &lt;a href="http://www.asce.org/failuretoact/"&gt;（阅读原文）&lt;/a&gt;&lt;/p&gt;</v>
      </c>
      <c r="C5" s="5" t="str">
        <f t="shared" si="2"/>
        <v>&lt;p&gt;Between now and 2020, investment needs across key infrastructure sectors-including roads, bridges, power lines, sewer systems, ports, and waterways-total $2.75 trillion, while planned expenditures are about $1.66 trillion, leaving an investment gap of $1.1 trillion, according to a new ASCE report. However, with an additional investment of $157 billion a year between now and 2020, 3.5 million jobs and $3.1 trillion in GDP can be saved. &lt;a href="http://www.asce.org/failuretoact/"&gt;（阅读原文）&lt;/a&gt;&lt;/p&gt;</v>
      </c>
      <c r="D5" s="2" t="str">
        <f t="shared" ref="D5" si="4">"&lt;p&gt;"&amp;E5&amp;"&lt;/p&gt;"</f>
        <v>&lt;p&gt;Between now and 2020, investment needs across key infrastructure sectors-including roads, bridges, power lines, sewer systems, ports, and waterways-total $2.75 trillion, while planned expenditures are about $1.66 trillion, leaving an investment gap of $1.1 trillion, according to a new ASCE report. However, with an additional investment of $157 billion a year between now and 2020, 3.5 million jobs and $3.1 trillion in GDP can be saved. &lt;a href="http://www.asce.org/failuretoact/"&gt;（阅读原文）&lt;/a&gt;&lt;/p&gt;</v>
      </c>
      <c r="E5" s="15" t="s">
        <v>4</v>
      </c>
    </row>
    <row r="6" spans="1:6" s="6" customFormat="1" ht="33.75" x14ac:dyDescent="0.2">
      <c r="A6" s="5" t="str">
        <f t="shared" si="1"/>
        <v>&lt;li&gt;&lt;a href='#鼓励节水的提案&lt;/h'&gt;鼓励节水的提案&lt;/a&gt;&lt;/li&gt;</v>
      </c>
      <c r="B6" s="2" t="str">
        <f t="shared" si="0"/>
        <v>&lt;li&gt;&lt;a href='#鼓励节水的提案&lt;/h'&gt;鼓励节水的提案&lt;/a&gt;&lt;/li&gt;</v>
      </c>
      <c r="C6" s="5" t="str">
        <f t="shared" si="2"/>
        <v>&lt;h4 id='鼓励节水的提案'&gt;鼓励节水的提案&lt;/h4&gt;</v>
      </c>
      <c r="D6" s="2" t="str">
        <f t="shared" ref="D6" si="5">"&lt;h4&gt;"&amp;E6&amp;"&lt;/h4&gt;"</f>
        <v>&lt;h4&gt;鼓励节水的提案&lt;/h4&gt;</v>
      </c>
      <c r="E6" s="16" t="s">
        <v>5</v>
      </c>
      <c r="F6" s="11"/>
    </row>
    <row r="7" spans="1:6" ht="78.75" x14ac:dyDescent="0.2">
      <c r="A7" s="5" t="str">
        <f t="shared" si="1"/>
        <v/>
      </c>
      <c r="B7" s="2" t="str">
        <f t="shared" si="0"/>
        <v>&lt;p&gt;H.R. 123: Water Advanced Technologies for Efficient Resource Use Act of 2013 would establish within the EPA a WaterSense program to identify and promote water-efficient products, buildings, landscapes, and services to reduce water use, conserve energy, and preserve water resources. &lt;a href="http://thomas.loc.gov/cgi-bin/query/z?c113:H.R.+123:"&gt;（阅读原文）&lt;/a&gt; &lt;/p&gt;</v>
      </c>
      <c r="C7" s="5" t="str">
        <f t="shared" si="2"/>
        <v>&lt;p&gt;H.R. 123: Water Advanced Technologies for Efficient Resource Use Act of 2013 would establish within the EPA a WaterSense program to identify and promote water-efficient products, buildings, landscapes, and services to reduce water use, conserve energy, and preserve water resources. &lt;a href="http://thomas.loc.gov/cgi-bin/query/z?c113:H.R.+123:"&gt;（阅读原文）&lt;/a&gt; &lt;/p&gt;</v>
      </c>
      <c r="D7" s="2" t="str">
        <f t="shared" ref="D7" si="6">"&lt;p&gt;"&amp;E7&amp;"&lt;/p&gt;"</f>
        <v>&lt;p&gt;H.R. 123: Water Advanced Technologies for Efficient Resource Use Act of 2013 would establish within the EPA a WaterSense program to identify and promote water-efficient products, buildings, landscapes, and services to reduce water use, conserve energy, and preserve water resources. &lt;a href="http://thomas.loc.gov/cgi-bin/query/z?c113:H.R.+123:"&gt;（阅读原文）&lt;/a&gt; &lt;/p&gt;</v>
      </c>
      <c r="E7" s="15" t="s">
        <v>6</v>
      </c>
    </row>
    <row r="8" spans="1:6" s="6" customFormat="1" ht="45" x14ac:dyDescent="0.2">
      <c r="A8" s="5" t="str">
        <f t="shared" si="1"/>
        <v>&lt;li&gt;&lt;a href='#全国水资源统一管理好'&gt;全国水资源统一管理好吗?&lt;/a&gt;&lt;/li&gt;</v>
      </c>
      <c r="B8" s="2" t="str">
        <f t="shared" si="0"/>
        <v>&lt;li&gt;&lt;a href='#全国水资源统一管理好'&gt;全国水资源统一管理好吗?&lt;/a&gt;&lt;/li&gt;</v>
      </c>
      <c r="C8" s="5" t="str">
        <f t="shared" si="2"/>
        <v>&lt;h4 id='全国水资源统一管理好'&gt;全国水资源统一管理好吗?&lt;/h4&gt;</v>
      </c>
      <c r="D8" s="2" t="str">
        <f t="shared" ref="D8" si="7">"&lt;h4&gt;"&amp;E8&amp;"&lt;/h4&gt;"</f>
        <v>&lt;h4&gt;全国水资源统一管理好吗?&lt;/h4&gt;</v>
      </c>
      <c r="E8" s="14" t="s">
        <v>7</v>
      </c>
      <c r="F8" s="11"/>
    </row>
    <row r="9" spans="1:6" ht="101.25" x14ac:dyDescent="0.2">
      <c r="A9" s="5" t="str">
        <f t="shared" si="1"/>
        <v/>
      </c>
      <c r="B9" s="2" t="str">
        <f t="shared" si="0"/>
        <v>&lt;p&gt;A new research report by the American Water Resources Association explores efforts in several states to implement integrated water resources management (IWRM), highlighting its effectiveness at all levels of water management, the process of shifting to an IWRM approach, costs and benefits, and how it could be a common-sense approach for managing water in the United States. &lt;a href="http://www.awra.org/committees/AWRA-Case-Studies-IWRM.pdf"&gt;（阅读原文）&lt;/a&gt;&lt;/p&gt;</v>
      </c>
      <c r="C9" s="5" t="str">
        <f t="shared" si="2"/>
        <v>&lt;p&gt;A new research report by the American Water Resources Association explores efforts in several states to implement integrated water resources management (IWRM), highlighting its effectiveness at all levels of water management, the process of shifting to an IWRM approach, costs and benefits, and how it could be a common-sense approach for managing water in the United States. &lt;a href="http://www.awra.org/committees/AWRA-Case-Studies-IWRM.pdf"&gt;（阅读原文）&lt;/a&gt;&lt;/p&gt;</v>
      </c>
      <c r="D9" s="2" t="str">
        <f t="shared" ref="D9" si="8">"&lt;p&gt;"&amp;E9&amp;"&lt;/p&gt;"</f>
        <v>&lt;p&gt;A new research report by the American Water Resources Association explores efforts in several states to implement integrated water resources management (IWRM), highlighting its effectiveness at all levels of water management, the process of shifting to an IWRM approach, costs and benefits, and how it could be a common-sense approach for managing water in the United States. &lt;a href="http://www.awra.org/committees/AWRA-Case-Studies-IWRM.pdf"&gt;（阅读原文）&lt;/a&gt;&lt;/p&gt;</v>
      </c>
      <c r="E9" s="15" t="s">
        <v>8</v>
      </c>
    </row>
    <row r="10" spans="1:6" s="6" customFormat="1" ht="45" x14ac:dyDescent="0.2">
      <c r="A10" s="5" t="str">
        <f t="shared" si="1"/>
        <v>&lt;li&gt;&lt;a href='#居民护理设施设计规范'&gt;居民护理设施设计规范征求公众意见 &lt;/a&gt;&lt;/li&gt;</v>
      </c>
      <c r="B10" s="2" t="str">
        <f t="shared" si="0"/>
        <v>&lt;li&gt;&lt;a href='#居民护理设施设计规范'&gt;居民护理设施设计规范征求公众意见 &lt;/a&gt;&lt;/li&gt;</v>
      </c>
      <c r="C10" s="5" t="str">
        <f t="shared" si="2"/>
        <v>&lt;h4 id='居民护理设施设计规范'&gt;居民护理设施设计规范征求公众意见 &lt;/h4&gt;</v>
      </c>
      <c r="D10" s="2" t="str">
        <f t="shared" ref="D10" si="9">"&lt;h4&gt;"&amp;E10&amp;"&lt;/h4&gt;"</f>
        <v>&lt;h4&gt;居民护理设施设计规范征求公众意见 &lt;/h4&gt;</v>
      </c>
      <c r="E10" s="16" t="s">
        <v>9</v>
      </c>
      <c r="F10" s="11"/>
    </row>
    <row r="11" spans="1:6" ht="112.5" x14ac:dyDescent="0.2">
      <c r="A11" s="5" t="str">
        <f t="shared" si="1"/>
        <v/>
      </c>
      <c r="B11" s="2" t="str">
        <f t="shared" si="0"/>
        <v>&lt;p&gt;The Facility Guidelines Institute seeks comments on a new standard, Guidelines for Design and Construction of Residential Health, Care, and Support Facilities, which provides minimum recommendations for new construction and renovation of nursing homes, hospice facilities, assisted living facilities, independent living settings, adult daycare facilities, wellness centers, and outpatient rehabilitation centers. Comments are due by March 20. &lt;a href="http://www.fgiguidelines.org/pdfs/FGI_Guidelines_residential_pressrelease_130118.pdf"&gt;（阅读原文）&lt;/a&gt;&lt;/p&gt;</v>
      </c>
      <c r="C11" s="5" t="str">
        <f t="shared" si="2"/>
        <v>&lt;p&gt;The Facility Guidelines Institute seeks comments on a new standard, Guidelines for Design and Construction of Residential Health, Care, and Support Facilities, which provides minimum recommendations for new construction and renovation of nursing homes, hospice facilities, assisted living facilities, independent living settings, adult daycare facilities, wellness centers, and outpatient rehabilitation centers. Comments are due by March 20. &lt;a href="http://www.fgiguidelines.org/pdfs/FGI_Guidelines_residential_pressrelease_130118.pdf"&gt;（阅读原文）&lt;/a&gt;&lt;/p&gt;</v>
      </c>
      <c r="D11" s="2" t="str">
        <f t="shared" ref="D11" si="10">"&lt;p&gt;"&amp;E11&amp;"&lt;/p&gt;"</f>
        <v>&lt;p&gt;The Facility Guidelines Institute seeks comments on a new standard, Guidelines for Design and Construction of Residential Health, Care, and Support Facilities, which provides minimum recommendations for new construction and renovation of nursing homes, hospice facilities, assisted living facilities, independent living settings, adult daycare facilities, wellness centers, and outpatient rehabilitation centers. Comments are due by March 20. &lt;a href="http://www.fgiguidelines.org/pdfs/FGI_Guidelines_residential_pressrelease_130118.pdf"&gt;（阅读原文）&lt;/a&gt;&lt;/p&gt;</v>
      </c>
      <c r="E11" s="15" t="s">
        <v>10</v>
      </c>
    </row>
    <row r="12" spans="1:6" s="6" customFormat="1" ht="45" x14ac:dyDescent="0.2">
      <c r="A12" s="5" t="str">
        <f t="shared" si="1"/>
        <v>&lt;li&gt;&lt;a href='#哪一州有LEED证书'&gt;哪一州有LEED证书的绿色建筑面积最多？&lt;/a&gt;&lt;/li&gt;</v>
      </c>
      <c r="B12" s="2" t="str">
        <f t="shared" si="0"/>
        <v>&lt;li&gt;&lt;a href='#哪一州有LEED证书'&gt;哪一州有LEED证书的绿色建筑面积最多？&lt;/a&gt;&lt;/li&gt;</v>
      </c>
      <c r="C12" s="5" t="str">
        <f t="shared" si="2"/>
        <v>&lt;h4 id='哪一州有LEED证书'&gt;哪一州有LEED证书的绿色建筑面积最多？&lt;/h4&gt;</v>
      </c>
      <c r="D12" s="2" t="str">
        <f t="shared" ref="D12" si="11">"&lt;h4&gt;"&amp;E12&amp;"&lt;/h4&gt;"</f>
        <v>&lt;h4&gt;哪一州有LEED证书的绿色建筑面积最多？&lt;/h4&gt;</v>
      </c>
      <c r="E12" s="14" t="s">
        <v>11</v>
      </c>
      <c r="F12" s="11"/>
    </row>
    <row r="13" spans="1:6" ht="67.5" x14ac:dyDescent="0.2">
      <c r="A13" s="5" t="str">
        <f t="shared" si="1"/>
        <v/>
      </c>
      <c r="B13" s="2" t="str">
        <f t="shared" si="0"/>
        <v>&lt;p&gt;Virginia tops the list, although on a per-capita basis, Washington, D.C. is the leader, with 36.97 square feet of LEED space certified per resident in 2012, according to the USGBC's Top States for LEED in 2012 ranking. &lt;a href="http://new.usgbc.org/articles/usgbc-releases-2012-list-top-10-states-leed"&gt;（阅读原文）&lt;/a&gt;&lt;/p&gt;</v>
      </c>
      <c r="C13" s="5" t="str">
        <f t="shared" si="2"/>
        <v>&lt;p&gt;Virginia tops the list, although on a per-capita basis, Washington, D.C. is the leader, with 36.97 square feet of LEED space certified per resident in 2012, according to the USGBC's Top States for LEED in 2012 ranking. &lt;a href="http://new.usgbc.org/articles/usgbc-releases-2012-list-top-10-states-leed"&gt;（阅读原文）&lt;/a&gt;&lt;/p&gt;</v>
      </c>
      <c r="D13" s="2" t="str">
        <f t="shared" ref="D13" si="12">"&lt;p&gt;"&amp;E13&amp;"&lt;/p&gt;"</f>
        <v>&lt;p&gt;Virginia tops the list, although on a per-capita basis, Washington, D.C. is the leader, with 36.97 square feet of LEED space certified per resident in 2012, according to the USGBC's Top States for LEED in 2012 ranking. &lt;a href="http://new.usgbc.org/articles/usgbc-releases-2012-list-top-10-states-leed"&gt;（阅读原文）&lt;/a&gt;&lt;/p&gt;</v>
      </c>
      <c r="E13" s="15" t="s">
        <v>12</v>
      </c>
    </row>
    <row r="14" spans="1:6" ht="45" x14ac:dyDescent="0.2">
      <c r="A14" s="5" t="str">
        <f t="shared" si="1"/>
        <v>&lt;li&gt;&lt;a href='#2013年NFPA '&gt;2013年NFPA 国际会议和展览会开始注册&lt;/a&gt;&lt;/li&gt;</v>
      </c>
      <c r="B14" s="2" t="str">
        <f t="shared" si="0"/>
        <v>&lt;li&gt;&lt;a href='#2013年NFPA '&gt;2013年NFPA 国际会议和展览会开始注册&lt;/a&gt;&lt;/li&gt;</v>
      </c>
      <c r="C14" s="5" t="str">
        <f t="shared" si="2"/>
        <v>&lt;h4 id='2013年NFPA '&gt;2013年NFPA 国际会议和展览会开始注册&lt;/h4&gt;</v>
      </c>
      <c r="D14" s="2" t="str">
        <f t="shared" ref="D14" si="13">"&lt;h4&gt;"&amp;E14&amp;"&lt;/h4&gt;"</f>
        <v>&lt;h4&gt;2013年NFPA 国际会议和展览会开始注册&lt;/h4&gt;</v>
      </c>
      <c r="E14" s="14" t="s">
        <v>13</v>
      </c>
    </row>
    <row r="15" spans="1:6" s="7" customFormat="1" ht="67.5" x14ac:dyDescent="0.2">
      <c r="A15" s="5" t="str">
        <f t="shared" si="1"/>
        <v/>
      </c>
      <c r="B15" s="2" t="str">
        <f t="shared" si="0"/>
        <v>&lt;p&gt;The event, being held June 10-13 in Chicago, will feature education sessions, association technical meetings, and a fire, security, and life safety product exposition. The early bird registration rate ends April 26. &lt;a href="http://www.nfpa.org/categorylistconf.asp?categoryID=1600"&gt;（阅读原文）&lt;/a&gt;&lt;/p&gt;</v>
      </c>
      <c r="C15" s="5" t="str">
        <f t="shared" si="2"/>
        <v>&lt;p&gt;The event, being held June 10-13 in Chicago, will feature education sessions, association technical meetings, and a fire, security, and life safety product exposition. The early bird registration rate ends April 26. &lt;a href="http://www.nfpa.org/categorylistconf.asp?categoryID=1600"&gt;（阅读原文）&lt;/a&gt;&lt;/p&gt;</v>
      </c>
      <c r="D15" s="2" t="str">
        <f t="shared" ref="D15" si="14">"&lt;p&gt;"&amp;E15&amp;"&lt;/p&gt;"</f>
        <v>&lt;p&gt;The event, being held June 10-13 in Chicago, will feature education sessions, association technical meetings, and a fire, security, and life safety product exposition. The early bird registration rate ends April 26. &lt;a href="http://www.nfpa.org/categorylistconf.asp?categoryID=1600"&gt;（阅读原文）&lt;/a&gt;&lt;/p&gt;</v>
      </c>
      <c r="E15" s="15" t="s">
        <v>14</v>
      </c>
    </row>
    <row r="16" spans="1:6" ht="33.75" x14ac:dyDescent="0.2">
      <c r="A16" s="5" t="str">
        <f t="shared" si="1"/>
        <v>&lt;li&gt;&lt;a href='#ASHRAE征求20'&gt;ASHRAE征求2014年冬季会议录论文 &lt;/a&gt;&lt;/li&gt;</v>
      </c>
      <c r="B16" s="2" t="str">
        <f t="shared" si="0"/>
        <v>&lt;li&gt;&lt;a href='#ASHRAE征求20'&gt;ASHRAE征求2014年冬季会议录论文 &lt;/a&gt;&lt;/li&gt;</v>
      </c>
      <c r="C16" s="5" t="str">
        <f t="shared" si="2"/>
        <v>&lt;h4 id='ASHRAE征求20'&gt;ASHRAE征求2014年冬季会议录论文 &lt;/h4&gt;</v>
      </c>
      <c r="D16" s="2" t="str">
        <f t="shared" ref="D16" si="15">"&lt;h4&gt;"&amp;E16&amp;"&lt;/h4&gt;"</f>
        <v>&lt;h4&gt;ASHRAE征求2014年冬季会议录论文 &lt;/h4&gt;</v>
      </c>
      <c r="E16" s="16" t="s">
        <v>15</v>
      </c>
    </row>
    <row r="17" spans="1:5" ht="90" x14ac:dyDescent="0.2">
      <c r="A17" s="5" t="str">
        <f t="shared" si="1"/>
        <v/>
      </c>
      <c r="B17" s="2" t="str">
        <f t="shared" si="0"/>
        <v>&lt;p&gt;ASHRAE's 2014 Winter Conference will be held in New York City on January 18-22. The Conference has a building-oriented theme and seeks papers on building information systems, environmental health, international design, HVAC&amp;R applications and systems, and, featured for this Conference, tall building performance. &lt;a href="http://ashraem.confex.com/ashraem/w14/cfp.cgi"&gt;（阅读原文）&lt;/a&gt;&lt;/p&gt;</v>
      </c>
      <c r="C17" s="5" t="str">
        <f t="shared" si="2"/>
        <v>&lt;p&gt;ASHRAE's 2014 Winter Conference will be held in New York City on January 18-22. The Conference has a building-oriented theme and seeks papers on building information systems, environmental health, international design, HVAC&amp;R applications and systems, and, featured for this Conference, tall building performance. &lt;a href="http://ashraem.confex.com/ashraem/w14/cfp.cgi"&gt;（阅读原文）&lt;/a&gt;&lt;/p&gt;</v>
      </c>
      <c r="D17" s="2" t="str">
        <f t="shared" ref="D17" si="16">"&lt;p&gt;"&amp;E17&amp;"&lt;/p&gt;"</f>
        <v>&lt;p&gt;ASHRAE's 2014 Winter Conference will be held in New York City on January 18-22. The Conference has a building-oriented theme and seeks papers on building information systems, environmental health, international design, HVAC&amp;R applications and systems, and, featured for this Conference, tall building performance. &lt;a href="http://ashraem.confex.com/ashraem/w14/cfp.cgi"&gt;（阅读原文）&lt;/a&gt;&lt;/p&gt;</v>
      </c>
      <c r="E17" s="15" t="s">
        <v>16</v>
      </c>
    </row>
    <row r="18" spans="1:5" ht="33.75" x14ac:dyDescent="0.3">
      <c r="A18" s="5" t="str">
        <f t="shared" si="1"/>
        <v>&lt;li&gt;&lt;a href='#IAPMO宣布201'&gt;IAPMO宣布2013年奖学金比赛 &lt;/a&gt;&lt;/li&gt;</v>
      </c>
      <c r="B18" s="2" t="str">
        <f t="shared" si="0"/>
        <v>&lt;li&gt;&lt;a href='#IAPMO宣布201'&gt;IAPMO宣布2013年奖学金比赛 &lt;/a&gt;&lt;/li&gt;</v>
      </c>
      <c r="C18" s="5" t="str">
        <f t="shared" si="2"/>
        <v>&lt;h4 id='IAPMO宣布201'&gt;IAPMO宣布2013年奖学金比赛 &lt;/h4&gt;</v>
      </c>
      <c r="D18" s="2" t="str">
        <f t="shared" ref="D18" si="17">"&lt;h4&gt;"&amp;E18&amp;"&lt;/h4&gt;"</f>
        <v>&lt;h4&gt;IAPMO宣布2013年奖学金比赛 &lt;/h4&gt;</v>
      </c>
      <c r="E18" s="17" t="s">
        <v>17</v>
      </c>
    </row>
    <row r="19" spans="1:5" ht="168" x14ac:dyDescent="0.2">
      <c r="A19" s="5" t="str">
        <f t="shared" si="1"/>
        <v/>
      </c>
      <c r="B19" s="2" t="str">
        <f t="shared" si="0"/>
        <v>&lt;p&gt;The competition is open to members-and their children-of IAPMO, ASPE, PHCC, MCAA, UA, and ASSE who are currently enrolled in a high school, community college, trade school, or four-year accredited college or university or working in an apprentice program. Participants must submit an original essay (1,000 words minimum) on "Which steps can the plumbing/mechanical industries take to encourage businesses and individuals to go green?" The first prize is a $1,000 scholarship and a one-year paid membership to IAPMO. Send your essay, including your name, your school's name, and yours or your parent's professional affiliation with one of the qualifying trade associations or union locals, to Gabriella Davis by June 1. &lt;a href="gaby.davis@iapmo.org"&gt;（阅读原文）&lt;/a&gt;&lt;/p&gt;</v>
      </c>
      <c r="C19" s="5" t="str">
        <f t="shared" si="2"/>
        <v>&lt;p&gt;The competition is open to members-and their children-of IAPMO, ASPE, PHCC, MCAA, UA, and ASSE who are currently enrolled in a high school, community college, trade school, or four-year accredited college or university or working in an apprentice program. Participants must submit an original essay (1,000 words minimum) on "Which steps can the plumbing/mechanical industries take to encourage businesses and individuals to go green?" The first prize is a $1,000 scholarship and a one-year paid membership to IAPMO. Send your essay, including your name, your school's name, and yours or your parent's professional affiliation with one of the qualifying trade associations or union locals, to Gabriella Davis by June 1. &lt;a href="gaby.davis@iapmo.org"&gt;（阅读原文）&lt;/a&gt;&lt;/p&gt;</v>
      </c>
      <c r="D19" s="2" t="str">
        <f t="shared" ref="D19" si="18">"&lt;p&gt;"&amp;E19&amp;"&lt;/p&gt;"</f>
        <v>&lt;p&gt;The competition is open to members-and their children-of IAPMO, ASPE, PHCC, MCAA, UA, and ASSE who are currently enrolled in a high school, community college, trade school, or four-year accredited college or university or working in an apprentice program. Participants must submit an original essay (1,000 words minimum) on "Which steps can the plumbing/mechanical industries take to encourage businesses and individuals to go green?" The first prize is a $1,000 scholarship and a one-year paid membership to IAPMO. Send your essay, including your name, your school's name, and yours or your parent's professional affiliation with one of the qualifying trade associations or union locals, to Gabriella Davis by June 1. &lt;a href="gaby.davis@iapmo.org"&gt;（阅读原文）&lt;/a&gt;&lt;/p&gt;</v>
      </c>
      <c r="E19" s="18" t="s">
        <v>18</v>
      </c>
    </row>
    <row r="20" spans="1:5" ht="45" x14ac:dyDescent="0.2">
      <c r="A20" s="5" t="str">
        <f t="shared" si="1"/>
        <v>&lt;li&gt;&lt;a href='#新版世界水务协会评论'&gt;新版世界水务协会评论发行&lt;/a&gt;&lt;/li&gt;</v>
      </c>
      <c r="B20" s="2" t="str">
        <f t="shared" si="0"/>
        <v>&lt;li&gt;&lt;a href='#新版世界水务协会评论'&gt;新版世界水务协会评论发行&lt;/a&gt;&lt;/li&gt;</v>
      </c>
      <c r="C20" s="5" t="str">
        <f t="shared" si="2"/>
        <v>&lt;h4 id='新版世界水务协会评论'&gt;新版世界水务协会评论发行&lt;/h4&gt;</v>
      </c>
      <c r="D20" s="2" t="str">
        <f t="shared" ref="D20" si="19">"&lt;h4&gt;"&amp;E20&amp;"&lt;/h4&gt;"</f>
        <v>&lt;h4&gt;新版世界水务协会评论发行&lt;/h4&gt;</v>
      </c>
      <c r="E20" s="12" t="s">
        <v>19</v>
      </c>
    </row>
    <row r="21" spans="1:5" ht="84" x14ac:dyDescent="0.2">
      <c r="A21" s="5" t="str">
        <f t="shared" si="1"/>
        <v/>
      </c>
      <c r="B21" s="2" t="str">
        <f t="shared" si="0"/>
        <v>&lt;p&gt;Learn about new water treatment system regulations in the UK, ISH 2013-The World's Leading Trade Fair for the Bathroom Experience, Building Services, Energy, Air-Conditioning Technology, and Renewable Energies, and more in the December 2012 issue of WPC Review. &lt;a href="http://aspe.org/sites/default/files/webfm/WPC_REVIEW_December_2012.pdf"&gt;（阅读原文）&lt;/a&gt;&lt;/p&gt;</v>
      </c>
      <c r="C21" s="5" t="str">
        <f t="shared" si="2"/>
        <v>&lt;p&gt;Learn about new water treatment system regulations in the UK, ISH 2013-The World's Leading Trade Fair for the Bathroom Experience, Building Services, Energy, Air-Conditioning Technology, and Renewable Energies, and more in the December 2012 issue of WPC Review. &lt;a href="http://aspe.org/sites/default/files/webfm/WPC_REVIEW_December_2012.pdf"&gt;（阅读原文）&lt;/a&gt;&lt;/p&gt;</v>
      </c>
      <c r="D21" s="2" t="str">
        <f t="shared" ref="D21" si="20">"&lt;p&gt;"&amp;E21&amp;"&lt;/p&gt;"</f>
        <v>&lt;p&gt;Learn about new water treatment system regulations in the UK, ISH 2013-The World's Leading Trade Fair for the Bathroom Experience, Building Services, Energy, Air-Conditioning Technology, and Renewable Energies, and more in the December 2012 issue of WPC Review. &lt;a href="http://aspe.org/sites/default/files/webfm/WPC_REVIEW_December_2012.pdf"&gt;（阅读原文）&lt;/a&gt;&lt;/p&gt;</v>
      </c>
      <c r="E21" s="18" t="s">
        <v>20</v>
      </c>
    </row>
    <row r="22" spans="1:5" ht="45" x14ac:dyDescent="0.2">
      <c r="A22" s="5" t="str">
        <f t="shared" si="1"/>
        <v>&lt;li&gt;&lt;a href='#加拿大主要组织联合庆'&gt;加拿大主要组织联合庆祝世界建筑给水排水日&lt;/a&gt;&lt;/li&gt;</v>
      </c>
      <c r="B22" s="2" t="str">
        <f t="shared" si="0"/>
        <v>&lt;li&gt;&lt;a href='#加拿大主要组织联合庆'&gt;加拿大主要组织联合庆祝世界建筑给水排水日&lt;/a&gt;&lt;/li&gt;</v>
      </c>
      <c r="C22" s="5" t="str">
        <f t="shared" si="2"/>
        <v>&lt;h4 id='加拿大主要组织联合庆'&gt;加拿大主要组织联合庆祝世界建筑给水排水日&lt;/h4&gt;</v>
      </c>
      <c r="D22" s="2" t="str">
        <f t="shared" ref="D22" si="21">"&lt;h4&gt;"&amp;E22&amp;"&lt;/h4&gt;"</f>
        <v>&lt;h4&gt;加拿大主要组织联合庆祝世界建筑给水排水日&lt;/h4&gt;</v>
      </c>
      <c r="E22" s="9" t="s">
        <v>21</v>
      </c>
    </row>
    <row r="23" spans="1:5" ht="99.6" customHeight="1" x14ac:dyDescent="0.2">
      <c r="A23" s="5" t="str">
        <f t="shared" si="1"/>
        <v/>
      </c>
      <c r="B23" s="2" t="str">
        <f t="shared" si="0"/>
        <v>&lt;p&gt;The Canadian Institute of Plumbing &amp; Heating and the Mechanical Contractors Association of Canada are joining other Canadian members of the WPC to promote World Plumbing Day by providing content and other promotional efforts and PowerPoint presentations for school discussions. Representatives also will be approaching government officials for their support and assistance. More&gt;&gt; &lt;a href="http://ciph.com/emailLinks/world_plumbing_day_media_release_with_brochure_link_-en.pdf"&gt;（阅读原文）&lt;/a&gt;&lt;/p&gt;</v>
      </c>
      <c r="C23" s="5" t="str">
        <f t="shared" si="2"/>
        <v>&lt;p&gt;The Canadian Institute of Plumbing &amp; Heating and the Mechanical Contractors Association of Canada are joining other Canadian members of the WPC to promote World Plumbing Day by providing content and other promotional efforts and PowerPoint presentations for school discussions. Representatives also will be approaching government officials for their support and assistance. More&gt;&gt; &lt;a href="http://ciph.com/emailLinks/world_plumbing_day_media_release_with_brochure_link_-en.pdf"&gt;（阅读原文）&lt;/a&gt;&lt;/p&gt;</v>
      </c>
      <c r="D23" s="2" t="str">
        <f t="shared" ref="D23" si="22">"&lt;p&gt;"&amp;E23&amp;"&lt;/p&gt;"</f>
        <v>&lt;p&gt;The Canadian Institute of Plumbing &amp; Heating and the Mechanical Contractors Association of Canada are joining other Canadian members of the WPC to promote World Plumbing Day by providing content and other promotional efforts and PowerPoint presentations for school discussions. Representatives also will be approaching government officials for their support and assistance. More&gt;&gt; &lt;a href="http://ciph.com/emailLinks/world_plumbing_day_media_release_with_brochure_link_-en.pdf"&gt;（阅读原文）&lt;/a&gt;&lt;/p&gt;</v>
      </c>
      <c r="E23" s="12" t="s">
        <v>22</v>
      </c>
    </row>
    <row r="24" spans="1:5" ht="33.75" x14ac:dyDescent="0.2">
      <c r="A24" s="5" t="str">
        <f t="shared" si="1"/>
        <v>&lt;li&gt;&lt;a href='#Design-Air'&gt;Design-Aire工程公司庆祝成立30周年&lt;/a&gt;&lt;/li&gt;</v>
      </c>
      <c r="C24" s="5" t="str">
        <f t="shared" si="2"/>
        <v>&lt;h4 id='Design-Air'&gt;Design-Aire工程公司庆祝成立30周年&lt;/h4&gt;</v>
      </c>
      <c r="D24" s="2" t="str">
        <f t="shared" ref="D24:D44" si="23">"&lt;h4&gt;"&amp;E24&amp;"&lt;/h4&gt;"</f>
        <v>&lt;h4&gt;Design-Aire工程公司庆祝成立30周年&lt;/h4&gt;</v>
      </c>
      <c r="E24" s="12" t="s">
        <v>23</v>
      </c>
    </row>
    <row r="25" spans="1:5" ht="157.5" x14ac:dyDescent="0.2">
      <c r="A25" s="5" t="str">
        <f t="shared" si="1"/>
        <v/>
      </c>
      <c r="C25" s="5" t="str">
        <f t="shared" si="2"/>
        <v>&lt;p&gt;Design-Aire Engineering is a Service-Disabled Veteran-Owned Small Business, multi-discipline engineering consulting firm licensed in 25 states and specializing in MEP, refrigeration, fire protection, and energy efficiency. It has completed MEP design for 2,203 projects and 125 energy audits with an average cost savings of 15 percent as the sole energy-efficiency auditor for the State of Indiana Energy Office (2000-2005). The company was awarded the BKD Indiana Excellence Award in 2007 for helping 23 companies receive $9 million in tax deductions, and President E.W. "Bob" Boulware, PE, is the past president of ARCSA and recently published Alternative Water Source and Wastewater Management. &lt;a href=" http://www.daengineering.com/"&gt;（阅读原文）&lt;/a&gt;&lt;/p&gt;</v>
      </c>
      <c r="D25" s="2" t="str">
        <f t="shared" ref="D25:D43" si="24">"&lt;p&gt;"&amp;E25&amp;"&lt;/p&gt;"</f>
        <v>&lt;p&gt;Design-Aire Engineering is a Service-Disabled Veteran-Owned Small Business, multi-discipline engineering consulting firm licensed in 25 states and specializing in MEP, refrigeration, fire protection, and energy efficiency. It has completed MEP design for 2,203 projects and 125 energy audits with an average cost savings of 15 percent as the sole energy-efficiency auditor for the State of Indiana Energy Office (2000-2005). The company was awarded the BKD Indiana Excellence Award in 2007 for helping 23 companies receive $9 million in tax deductions, and President E.W. "Bob" Boulware, PE, is the past president of ARCSA and recently published Alternative Water Source and Wastewater Management. &lt;a href=" http://www.daengineering.com/"&gt;（阅读原文）&lt;/a&gt;&lt;/p&gt;</v>
      </c>
      <c r="E25" s="12" t="s">
        <v>24</v>
      </c>
    </row>
    <row r="26" spans="1:5" x14ac:dyDescent="0.2">
      <c r="A26" s="5" t="str">
        <f t="shared" si="1"/>
        <v>&lt;li&gt;&lt;a href='#&lt;/h4&gt;'&gt;&lt;/a&gt;&lt;/li&gt;</v>
      </c>
      <c r="C26" s="5" t="str">
        <f t="shared" si="2"/>
        <v>&lt;h4 id=''&gt;&lt;/h4&gt;</v>
      </c>
      <c r="D26" s="2" t="str">
        <f t="shared" si="23"/>
        <v>&lt;h4&gt;&lt;/h4&gt;</v>
      </c>
      <c r="E26" s="12"/>
    </row>
    <row r="27" spans="1:5" x14ac:dyDescent="0.2">
      <c r="A27" s="5" t="str">
        <f t="shared" si="1"/>
        <v/>
      </c>
      <c r="C27" s="5" t="str">
        <f t="shared" si="2"/>
        <v>&lt;p&gt;&lt;/p&gt;</v>
      </c>
      <c r="D27" s="2" t="str">
        <f t="shared" si="24"/>
        <v>&lt;p&gt;&lt;/p&gt;</v>
      </c>
      <c r="E27" s="12"/>
    </row>
    <row r="28" spans="1:5" x14ac:dyDescent="0.2">
      <c r="A28" s="5" t="str">
        <f t="shared" si="1"/>
        <v>&lt;li&gt;&lt;a href='#&lt;/h4&gt;'&gt;&lt;/a&gt;&lt;/li&gt;</v>
      </c>
      <c r="C28" s="5" t="str">
        <f t="shared" si="2"/>
        <v>&lt;h4 id=''&gt;&lt;/h4&gt;</v>
      </c>
      <c r="D28" s="2" t="str">
        <f t="shared" si="23"/>
        <v>&lt;h4&gt;&lt;/h4&gt;</v>
      </c>
      <c r="E28" s="12"/>
    </row>
    <row r="29" spans="1:5" x14ac:dyDescent="0.2">
      <c r="A29" s="5" t="str">
        <f t="shared" si="1"/>
        <v/>
      </c>
      <c r="C29" s="5" t="str">
        <f t="shared" si="2"/>
        <v>&lt;p&gt;&lt;/p&gt;</v>
      </c>
      <c r="D29" s="2" t="str">
        <f t="shared" si="24"/>
        <v>&lt;p&gt;&lt;/p&gt;</v>
      </c>
      <c r="E29" s="12"/>
    </row>
    <row r="30" spans="1:5" x14ac:dyDescent="0.2">
      <c r="A30" s="5" t="str">
        <f t="shared" si="1"/>
        <v>&lt;li&gt;&lt;a href='#&lt;/h4&gt;'&gt;&lt;/a&gt;&lt;/li&gt;</v>
      </c>
      <c r="C30" s="5" t="str">
        <f t="shared" si="2"/>
        <v>&lt;h4 id=''&gt;&lt;/h4&gt;</v>
      </c>
      <c r="D30" s="2" t="str">
        <f t="shared" si="23"/>
        <v>&lt;h4&gt;&lt;/h4&gt;</v>
      </c>
    </row>
    <row r="31" spans="1:5" x14ac:dyDescent="0.2">
      <c r="A31" s="5" t="str">
        <f t="shared" si="1"/>
        <v/>
      </c>
      <c r="C31" s="5" t="str">
        <f t="shared" si="2"/>
        <v>&lt;p&gt;&lt;/p&gt;</v>
      </c>
      <c r="D31" s="2" t="str">
        <f t="shared" si="24"/>
        <v>&lt;p&gt;&lt;/p&gt;</v>
      </c>
      <c r="E31" s="12"/>
    </row>
    <row r="32" spans="1:5" x14ac:dyDescent="0.2">
      <c r="A32" s="5" t="str">
        <f t="shared" si="1"/>
        <v>&lt;li&gt;&lt;a href='#&lt;/h4&gt;'&gt;&lt;/a&gt;&lt;/li&gt;</v>
      </c>
      <c r="C32" s="5" t="str">
        <f t="shared" si="2"/>
        <v>&lt;h4 id=''&gt;&lt;/h4&gt;</v>
      </c>
      <c r="D32" s="2" t="str">
        <f t="shared" si="23"/>
        <v>&lt;h4&gt;&lt;/h4&gt;</v>
      </c>
    </row>
    <row r="33" spans="1:5" x14ac:dyDescent="0.2">
      <c r="A33" s="5" t="str">
        <f t="shared" si="1"/>
        <v/>
      </c>
      <c r="C33" s="5" t="str">
        <f t="shared" si="2"/>
        <v>&lt;p&gt;&lt;/p&gt;</v>
      </c>
      <c r="D33" s="2" t="str">
        <f t="shared" si="24"/>
        <v>&lt;p&gt;&lt;/p&gt;</v>
      </c>
      <c r="E33" s="12"/>
    </row>
    <row r="34" spans="1:5" x14ac:dyDescent="0.2">
      <c r="A34" s="5" t="str">
        <f t="shared" si="1"/>
        <v>&lt;li&gt;&lt;a href='#&lt;/h4&gt;'&gt;&lt;/a&gt;&lt;/li&gt;</v>
      </c>
      <c r="C34" s="5" t="str">
        <f t="shared" si="2"/>
        <v>&lt;h4 id=''&gt;&lt;/h4&gt;</v>
      </c>
      <c r="D34" s="2" t="str">
        <f t="shared" si="23"/>
        <v>&lt;h4&gt;&lt;/h4&gt;</v>
      </c>
    </row>
    <row r="35" spans="1:5" x14ac:dyDescent="0.2">
      <c r="A35" s="5" t="str">
        <f t="shared" si="1"/>
        <v/>
      </c>
      <c r="C35" s="5" t="str">
        <f t="shared" si="2"/>
        <v>&lt;p&gt;&lt;/p&gt;</v>
      </c>
      <c r="D35" s="2" t="str">
        <f t="shared" si="24"/>
        <v>&lt;p&gt;&lt;/p&gt;</v>
      </c>
    </row>
    <row r="36" spans="1:5" x14ac:dyDescent="0.2">
      <c r="A36" s="5" t="str">
        <f t="shared" si="1"/>
        <v>&lt;li&gt;&lt;a href='#&lt;/h4&gt;'&gt;&lt;/a&gt;&lt;/li&gt;</v>
      </c>
      <c r="C36" s="5" t="str">
        <f t="shared" si="2"/>
        <v>&lt;h4 id=''&gt;&lt;/h4&gt;</v>
      </c>
      <c r="D36" s="2" t="str">
        <f t="shared" si="23"/>
        <v>&lt;h4&gt;&lt;/h4&gt;</v>
      </c>
    </row>
    <row r="37" spans="1:5" x14ac:dyDescent="0.2">
      <c r="A37" s="5" t="str">
        <f t="shared" si="1"/>
        <v/>
      </c>
      <c r="C37" s="5" t="str">
        <f t="shared" si="2"/>
        <v>&lt;p&gt;&lt;/p&gt;</v>
      </c>
      <c r="D37" s="2" t="str">
        <f t="shared" si="24"/>
        <v>&lt;p&gt;&lt;/p&gt;</v>
      </c>
      <c r="E37" s="12"/>
    </row>
    <row r="38" spans="1:5" x14ac:dyDescent="0.2">
      <c r="A38" s="5" t="str">
        <f t="shared" si="1"/>
        <v>&lt;li&gt;&lt;a href='#&lt;/h4&gt;'&gt;&lt;/a&gt;&lt;/li&gt;</v>
      </c>
      <c r="C38" s="5" t="str">
        <f t="shared" si="2"/>
        <v>&lt;h4 id=''&gt;&lt;/h4&gt;</v>
      </c>
      <c r="D38" s="2" t="str">
        <f t="shared" si="23"/>
        <v>&lt;h4&gt;&lt;/h4&gt;</v>
      </c>
    </row>
    <row r="39" spans="1:5" x14ac:dyDescent="0.2">
      <c r="A39" s="5" t="str">
        <f t="shared" si="1"/>
        <v/>
      </c>
      <c r="C39" s="5" t="str">
        <f t="shared" si="2"/>
        <v>&lt;p&gt;&lt;/p&gt;</v>
      </c>
      <c r="D39" s="2" t="str">
        <f t="shared" si="24"/>
        <v>&lt;p&gt;&lt;/p&gt;</v>
      </c>
    </row>
    <row r="40" spans="1:5" x14ac:dyDescent="0.2">
      <c r="A40" s="5" t="str">
        <f t="shared" si="1"/>
        <v>&lt;li&gt;&lt;a href='#&lt;/h4&gt;'&gt;&lt;/a&gt;&lt;/li&gt;</v>
      </c>
      <c r="C40" s="5" t="str">
        <f t="shared" si="2"/>
        <v>&lt;h4 id=''&gt;&lt;/h4&gt;</v>
      </c>
      <c r="D40" s="2" t="str">
        <f t="shared" si="23"/>
        <v>&lt;h4&gt;&lt;/h4&gt;</v>
      </c>
    </row>
    <row r="41" spans="1:5" x14ac:dyDescent="0.2">
      <c r="A41" s="5" t="str">
        <f t="shared" si="1"/>
        <v/>
      </c>
      <c r="C41" s="5" t="str">
        <f t="shared" si="2"/>
        <v>&lt;p&gt;&lt;/p&gt;</v>
      </c>
      <c r="D41" s="2" t="str">
        <f t="shared" si="24"/>
        <v>&lt;p&gt;&lt;/p&gt;</v>
      </c>
      <c r="E41" s="12"/>
    </row>
    <row r="42" spans="1:5" x14ac:dyDescent="0.2">
      <c r="A42" s="5" t="str">
        <f t="shared" si="1"/>
        <v>&lt;li&gt;&lt;a href='#&lt;/h4&gt;'&gt;&lt;/a&gt;&lt;/li&gt;</v>
      </c>
      <c r="C42" s="5" t="str">
        <f t="shared" si="2"/>
        <v>&lt;h4 id=''&gt;&lt;/h4&gt;</v>
      </c>
      <c r="D42" s="2" t="str">
        <f t="shared" si="23"/>
        <v>&lt;h4&gt;&lt;/h4&gt;</v>
      </c>
    </row>
    <row r="43" spans="1:5" x14ac:dyDescent="0.2">
      <c r="A43" s="5" t="str">
        <f t="shared" si="1"/>
        <v/>
      </c>
      <c r="C43" s="5" t="str">
        <f t="shared" si="2"/>
        <v>&lt;p&gt;&lt;/p&gt;</v>
      </c>
      <c r="D43" s="2" t="str">
        <f t="shared" si="24"/>
        <v>&lt;p&gt;&lt;/p&gt;</v>
      </c>
      <c r="E43" s="12"/>
    </row>
    <row r="44" spans="1:5" x14ac:dyDescent="0.2">
      <c r="A44" s="5" t="str">
        <f t="shared" si="1"/>
        <v>&lt;li&gt;&lt;a href='#&lt;/h4&gt;'&gt;&lt;/a&gt;&lt;/li&gt;</v>
      </c>
      <c r="C44" s="5" t="str">
        <f t="shared" si="2"/>
        <v>&lt;h4 id=''&gt;&lt;/h4&gt;</v>
      </c>
      <c r="D44" s="2" t="str">
        <f t="shared" si="23"/>
        <v>&lt;h4&gt;&lt;/h4&gt;</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News20121018</vt:lpstr>
      <vt:lpstr>News20121018!OLE_LINK1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home</dc:creator>
  <cp:lastModifiedBy>home123</cp:lastModifiedBy>
  <cp:lastPrinted>2010-07-01T20:45:26Z</cp:lastPrinted>
  <dcterms:created xsi:type="dcterms:W3CDTF">2010-05-03T13:11:48Z</dcterms:created>
  <dcterms:modified xsi:type="dcterms:W3CDTF">2013-02-02T22:20:02Z</dcterms:modified>
</cp:coreProperties>
</file>