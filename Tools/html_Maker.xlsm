
<file path=[Content_Types].xml><?xml version="1.0" encoding="utf-8"?>
<Types xmlns="http://schemas.openxmlformats.org/package/2006/content-types">
  <Default Extension="bin" ContentType="application/vnd.ms-office.activeX"/>
  <Override PartName="/xl/printerSettings/printerSettings1.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activeX/activeX2.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34" yWindow="117" windowWidth="19440" windowHeight="12240" activeTab="3"/>
  </bookViews>
  <sheets>
    <sheet name="Table-html" sheetId="1" r:id="rId1"/>
    <sheet name="Table Review" sheetId="2" r:id="rId2"/>
    <sheet name="Simple Paragraphs" sheetId="3" r:id="rId3"/>
    <sheet name="News with bookmarks" sheetId="4" r:id="rId4"/>
  </sheets>
  <definedNames>
    <definedName name="protected">'Simple Paragraphs'!#REF!</definedName>
    <definedName name="rgCaption">'Table-html'!$N$5</definedName>
    <definedName name="rgHeader">'Table-html'!$B$6:$N$9</definedName>
    <definedName name="rgTable">'Table-html'!$B$6:$N$32</definedName>
    <definedName name="rgTest">'Simple Paragraphs'!#REF!</definedName>
    <definedName name="rgValues">'Table-html'!$B$10:$N$32</definedName>
  </definedNames>
  <calcPr calcId="125725" iterate="1"/>
</workbook>
</file>

<file path=xl/calcChain.xml><?xml version="1.0" encoding="utf-8"?>
<calcChain xmlns="http://schemas.openxmlformats.org/spreadsheetml/2006/main">
  <c r="D2" i="4"/>
  <c r="A2" s="1"/>
  <c r="D1"/>
  <c r="A1" l="1"/>
  <c r="B1" s="1"/>
  <c r="C2"/>
  <c r="C1"/>
  <c r="B2"/>
  <c r="E3" i="3" l="1"/>
</calcChain>
</file>

<file path=xl/sharedStrings.xml><?xml version="1.0" encoding="utf-8"?>
<sst xmlns="http://schemas.openxmlformats.org/spreadsheetml/2006/main" count="87" uniqueCount="80">
  <si>
    <t xml:space="preserve">Pipe Size </t>
  </si>
  <si>
    <t>(in)</t>
  </si>
  <si>
    <t>Diameter</t>
  </si>
  <si>
    <t xml:space="preserve">Nominal Thickness </t>
  </si>
  <si>
    <t>Transverse Areas</t>
  </si>
  <si>
    <r>
      <t>(in</t>
    </r>
    <r>
      <rPr>
        <i/>
        <vertAlign val="superscript"/>
        <sz val="11"/>
        <color theme="1"/>
        <rFont val="Arial"/>
        <family val="2"/>
      </rPr>
      <t>2</t>
    </r>
    <r>
      <rPr>
        <i/>
        <sz val="11"/>
        <color theme="1"/>
        <rFont val="Arial"/>
        <family val="2"/>
      </rPr>
      <t>)</t>
    </r>
  </si>
  <si>
    <t>Length of Pipe</t>
  </si>
  <si>
    <t>(per sq. foot of)</t>
  </si>
  <si>
    <t>Volume</t>
  </si>
  <si>
    <r>
      <t>(ft</t>
    </r>
    <r>
      <rPr>
        <i/>
        <vertAlign val="superscript"/>
        <sz val="11"/>
        <color theme="1"/>
        <rFont val="Arial"/>
        <family val="2"/>
      </rPr>
      <t>3</t>
    </r>
    <r>
      <rPr>
        <i/>
        <sz val="11"/>
        <color theme="1"/>
        <rFont val="Arial"/>
        <family val="2"/>
      </rPr>
      <t>/ft)</t>
    </r>
  </si>
  <si>
    <t>Weight</t>
  </si>
  <si>
    <t>Number of Threads per inch of Screw</t>
  </si>
  <si>
    <t>External</t>
  </si>
  <si>
    <t>Internal</t>
  </si>
  <si>
    <t>Steel</t>
  </si>
  <si>
    <t>External Surface</t>
  </si>
  <si>
    <t>(ft)</t>
  </si>
  <si>
    <r>
      <t xml:space="preserve">Internal Surface </t>
    </r>
    <r>
      <rPr>
        <i/>
        <sz val="11"/>
        <color theme="1"/>
        <rFont val="Arial"/>
        <family val="2"/>
      </rPr>
      <t>(ft)</t>
    </r>
  </si>
  <si>
    <t>lb/ft</t>
  </si>
  <si>
    <t>kg/m</t>
  </si>
  <si>
    <t>¼</t>
  </si>
  <si>
    <t>½</t>
  </si>
  <si>
    <t>¾</t>
  </si>
  <si>
    <t>11 ½</t>
  </si>
  <si>
    <t>1 ¼</t>
  </si>
  <si>
    <t>1 ½</t>
  </si>
  <si>
    <t>2 ½</t>
  </si>
  <si>
    <t>3 ½</t>
  </si>
  <si>
    <t xml:space="preserve">Steel Pipes Dimensions - ANSI Schedule 40 </t>
  </si>
  <si>
    <t>How to use:</t>
  </si>
  <si>
    <t>A.</t>
  </si>
  <si>
    <t>B.</t>
  </si>
  <si>
    <t>C.</t>
  </si>
  <si>
    <t>Press Make Table to create html table source code.</t>
  </si>
  <si>
    <t>Copy a table,</t>
  </si>
  <si>
    <t>Define ranges as rgCaption， rgHeader, rgTable and rgValues,</t>
  </si>
  <si>
    <t>&lt;!DOCTYPE HTML PUBLIC '-//W3C//DTD HTML 4.01 Transitional//EN'</t>
  </si>
  <si>
    <t>http://www.w3.org/TR/html4/loose.dtd'&gt;</t>
  </si>
  <si>
    <t>&lt;html&gt;</t>
  </si>
  <si>
    <t>&lt;head&gt;</t>
  </si>
  <si>
    <t>&lt;link rel='stylesheet' type='text/css' href='Style.css' /&gt;</t>
  </si>
  <si>
    <t>&lt;title&gt;Table&lt;/title&gt;</t>
  </si>
  <si>
    <t>&lt;/head&gt;</t>
  </si>
  <si>
    <t>&lt;body&gt;</t>
  </si>
  <si>
    <t>&lt;table&gt;</t>
  </si>
  <si>
    <t>&lt;caption&gt;Steel Pipes Dimensions - ANSI Schedule 40 &lt;/caption&gt;</t>
  </si>
  <si>
    <t>&lt;tr&gt;&lt;th&gt;Pipe Size &lt;/th&gt;&lt;th&gt;Diameter&lt;/th&gt;&lt;th&gt;&lt;/th&gt;&lt;th&gt;Nominal Thickness &lt;/th&gt;&lt;th&gt;Transverse Areas&lt;/th&gt;&lt;th&gt;&lt;/th&gt;&lt;th&gt;&lt;/th&gt;&lt;th&gt;Length of Pipe&lt;/th&gt;&lt;th&gt;&lt;/th&gt;&lt;th&gt;Volume&lt;/th&gt;&lt;th&gt;Weight&lt;/th&gt;&lt;th&gt;&lt;/th&gt;&lt;th&gt;Number of Threads per inch of Screw&lt;/th&gt;&lt;/tr&gt;</t>
  </si>
  <si>
    <t>&lt;tr&gt;&lt;th&gt;(in)&lt;/th&gt;&lt;th&gt;(in)&lt;/th&gt;&lt;th&gt;&lt;/th&gt;&lt;th&gt;(in)&lt;/th&gt;&lt;th&gt;(in2)&lt;/th&gt;&lt;th&gt;&lt;/th&gt;&lt;th&gt;&lt;/th&gt;&lt;th&gt;(per sq. foot of)&lt;/th&gt;&lt;th&gt;&lt;/th&gt;&lt;th&gt;(ft3/ft)&lt;/th&gt;&lt;th&gt;&lt;/th&gt;&lt;th&gt;&lt;/th&gt;&lt;th&gt;&lt;/th&gt;&lt;/tr&gt;</t>
  </si>
  <si>
    <t>&lt;tr&gt;&lt;th&gt;&lt;/th&gt;&lt;th&gt;External&lt;/th&gt;&lt;th&gt;Internal&lt;/th&gt;&lt;th&gt;&lt;/th&gt;&lt;th&gt;External&lt;/th&gt;&lt;th&gt;Internal&lt;/th&gt;&lt;th&gt;Steel&lt;/th&gt;&lt;th&gt;External Surface&lt;/th&gt;&lt;th&gt;Internal Surface (ft)&lt;/th&gt;&lt;th&gt;&lt;/th&gt;&lt;th&gt;lb/ft&lt;/th&gt;&lt;th&gt;kg/m&lt;/th&gt;&lt;th&gt;&lt;/th&gt;&lt;/tr&gt;</t>
  </si>
  <si>
    <t>&lt;tr&gt;&lt;th&gt;&lt;/th&gt;&lt;th&gt;&lt;/th&gt;&lt;th&gt;&lt;/th&gt;&lt;th&gt;&lt;/th&gt;&lt;th&gt;&lt;/th&gt;&lt;th&gt;&lt;/th&gt;&lt;th&gt;&lt;/th&gt;&lt;th&gt;(ft)&lt;/th&gt;&lt;th&gt;&lt;/th&gt;&lt;th&gt;&lt;/th&gt;&lt;th&gt;&lt;/th&gt;&lt;th&gt;&lt;/th&gt;&lt;th&gt;&lt;/th&gt;&lt;/tr&gt;</t>
  </si>
  <si>
    <t>&lt;tr&gt;&lt;td&gt;1/8/2013&lt;/td&gt;&lt;td&gt;0.41&lt;/td&gt;&lt;td&gt;0.27&lt;/td&gt;&lt;td&gt;0.07&lt;/td&gt;&lt;td&gt;0.13&lt;/td&gt;&lt;td&gt;0.06&lt;/td&gt;&lt;td&gt;0.07&lt;/td&gt;&lt;td&gt;9.43&lt;/td&gt;&lt;td&gt;14.2&lt;/td&gt;&lt;td&gt;0.0004&lt;/td&gt;&lt;td&gt;0.24&lt;/td&gt;&lt;td&gt;0.36&lt;/td&gt;&lt;td&gt;27&lt;/td&gt;&lt;/tr&gt;</t>
  </si>
  <si>
    <t>&lt;tr&gt;&lt;td&gt;¼&lt;/td&gt;&lt;td&gt;0.54&lt;/td&gt;&lt;td&gt;0.36&lt;/td&gt;&lt;td&gt;0.09&lt;/td&gt;&lt;td&gt;0.23&lt;/td&gt;&lt;td&gt;0.1&lt;/td&gt;&lt;td&gt;0.13&lt;/td&gt;&lt;td&gt;7.07&lt;/td&gt;&lt;td&gt;10.49&lt;/td&gt;&lt;td&gt;0.0007&lt;/td&gt;&lt;td&gt;0.42&lt;/td&gt;&lt;td&gt;0.63&lt;/td&gt;&lt;td&gt;18&lt;/td&gt;&lt;/tr&gt;</t>
  </si>
  <si>
    <t>&lt;tr&gt;&lt;td&gt;3/8/2013&lt;/td&gt;&lt;td&gt;0.68&lt;/td&gt;&lt;td&gt;0.49&lt;/td&gt;&lt;td&gt;0.09&lt;/td&gt;&lt;td&gt;0.36&lt;/td&gt;&lt;td&gt;0.19&lt;/td&gt;&lt;td&gt;0.17&lt;/td&gt;&lt;td&gt;5.66&lt;/td&gt;&lt;td&gt;7.75&lt;/td&gt;&lt;td&gt;0.0013&lt;/td&gt;&lt;td&gt;0.57&lt;/td&gt;&lt;td&gt;0.84&lt;/td&gt;&lt;td&gt;18&lt;/td&gt;&lt;/tr&gt;</t>
  </si>
  <si>
    <t>&lt;tr&gt;&lt;td&gt;½&lt;/td&gt;&lt;td&gt;0.84&lt;/td&gt;&lt;td&gt;0.62&lt;/td&gt;&lt;td&gt;0.11&lt;/td&gt;&lt;td&gt;0.55&lt;/td&gt;&lt;td&gt;0.3&lt;/td&gt;&lt;td&gt;0.25&lt;/td&gt;&lt;td&gt;4.55&lt;/td&gt;&lt;td&gt;6.14&lt;/td&gt;&lt;td&gt;0.0021&lt;/td&gt;&lt;td&gt;0.85&lt;/td&gt;&lt;td&gt;1.26&lt;/td&gt;&lt;td&gt;14&lt;/td&gt;&lt;/tr&gt;</t>
  </si>
  <si>
    <t>&lt;tr&gt;&lt;td&gt;¾&lt;/td&gt;&lt;td&gt;1.05&lt;/td&gt;&lt;td&gt;0.82&lt;/td&gt;&lt;td&gt;0.11&lt;/td&gt;&lt;td&gt;0.87&lt;/td&gt;&lt;td&gt;0.53&lt;/td&gt;&lt;td&gt;0.33&lt;/td&gt;&lt;td&gt;3.64&lt;/td&gt;&lt;td&gt;4.64&lt;/td&gt;&lt;td&gt;0.0037&lt;/td&gt;&lt;td&gt;1.13&lt;/td&gt;&lt;td&gt;1.68&lt;/td&gt;&lt;td&gt;14&lt;/td&gt;&lt;/tr&gt;</t>
  </si>
  <si>
    <t>&lt;tr&gt;&lt;td&gt;1&lt;/td&gt;&lt;td&gt;1.32&lt;/td&gt;&lt;td&gt;1.05&lt;/td&gt;&lt;td&gt;0.13&lt;/td&gt;&lt;td&gt;1.36&lt;/td&gt;&lt;td&gt;0.86&lt;/td&gt;&lt;td&gt;0.49&lt;/td&gt;&lt;td&gt;2.9&lt;/td&gt;&lt;td&gt;3.64&lt;/td&gt;&lt;td&gt;0.006&lt;/td&gt;&lt;td&gt;1.68&lt;/td&gt;&lt;td&gt;2.5&lt;/td&gt;&lt;td&gt;11 ½&lt;/td&gt;&lt;/tr&gt;</t>
  </si>
  <si>
    <t>&lt;tr&gt;&lt;td&gt;1 ¼&lt;/td&gt;&lt;td&gt;1.66&lt;/td&gt;&lt;td&gt;1.38&lt;/td&gt;&lt;td&gt;0.14&lt;/td&gt;&lt;td&gt;2.16&lt;/td&gt;&lt;td&gt;1.5&lt;/td&gt;&lt;td&gt;0.67&lt;/td&gt;&lt;td&gt;2.3&lt;/td&gt;&lt;td&gt;2.77&lt;/td&gt;&lt;td&gt;0.0104&lt;/td&gt;&lt;td&gt;2.27&lt;/td&gt;&lt;td&gt;3.38&lt;/td&gt;&lt;td&gt;11 ½&lt;/td&gt;&lt;/tr&gt;</t>
  </si>
  <si>
    <t>&lt;tr&gt;&lt;td&gt;1 ½&lt;/td&gt;&lt;td&gt;1.9&lt;/td&gt;&lt;td&gt;1.61&lt;/td&gt;&lt;td&gt;0.15&lt;/td&gt;&lt;td&gt;2.84&lt;/td&gt;&lt;td&gt;2.04&lt;/td&gt;&lt;td&gt;0.8&lt;/td&gt;&lt;td&gt;2.01&lt;/td&gt;&lt;td&gt;2.37&lt;/td&gt;&lt;td&gt;0.0141&lt;/td&gt;&lt;td&gt;2.72&lt;/td&gt;&lt;td&gt;4.04&lt;/td&gt;&lt;td&gt;11 ½&lt;/td&gt;&lt;/tr&gt;</t>
  </si>
  <si>
    <t>&lt;tr&gt;&lt;td&gt;2&lt;/td&gt;&lt;td&gt;2.38&lt;/td&gt;&lt;td&gt;2.07&lt;/td&gt;&lt;td&gt;0.15&lt;/td&gt;&lt;td&gt;4.43&lt;/td&gt;&lt;td&gt;3.36&lt;/td&gt;&lt;td&gt;1.08&lt;/td&gt;&lt;td&gt;1.61&lt;/td&gt;&lt;td&gt;1.85&lt;/td&gt;&lt;td&gt;0.0233&lt;/td&gt;&lt;td&gt;3.65&lt;/td&gt;&lt;td&gt;5.43&lt;/td&gt;&lt;td&gt;11 ½&lt;/td&gt;&lt;/tr&gt;</t>
  </si>
  <si>
    <t>&lt;tr&gt;&lt;td&gt;2 ½&lt;/td&gt;&lt;td&gt;2.88&lt;/td&gt;&lt;td&gt;2.47&lt;/td&gt;&lt;td&gt;0.2&lt;/td&gt;&lt;td&gt;6.49&lt;/td&gt;&lt;td&gt;4.79&lt;/td&gt;&lt;td&gt;1.7&lt;/td&gt;&lt;td&gt;1.33&lt;/td&gt;&lt;td&gt;1.55&lt;/td&gt;&lt;td&gt;0.0333&lt;/td&gt;&lt;td&gt;5.79&lt;/td&gt;&lt;td&gt;8.62&lt;/td&gt;&lt;td&gt;8&lt;/td&gt;&lt;/tr&gt;</t>
  </si>
  <si>
    <t>&lt;tr&gt;&lt;td&gt;3&lt;/td&gt;&lt;td&gt;3.5&lt;/td&gt;&lt;td&gt;3.07&lt;/td&gt;&lt;td&gt;0.22&lt;/td&gt;&lt;td&gt;9.62&lt;/td&gt;&lt;td&gt;7.39&lt;/td&gt;&lt;td&gt;2.23&lt;/td&gt;&lt;td&gt;1.09&lt;/td&gt;&lt;td&gt;1.25&lt;/td&gt;&lt;td&gt;0.0513&lt;/td&gt;&lt;td&gt;7.58&lt;/td&gt;&lt;td&gt;11.27&lt;/td&gt;&lt;td&gt;8&lt;/td&gt;&lt;/tr&gt;</t>
  </si>
  <si>
    <t>&lt;tr&gt;&lt;td&gt;3 ½&lt;/td&gt;&lt;td&gt;4&lt;/td&gt;&lt;td&gt;3.55&lt;/td&gt;&lt;td&gt;0.23&lt;/td&gt;&lt;td&gt;12.56&lt;/td&gt;&lt;td&gt;9.89&lt;/td&gt;&lt;td&gt;2.68&lt;/td&gt;&lt;td&gt;0.95&lt;/td&gt;&lt;td&gt;1.08&lt;/td&gt;&lt;td&gt;0.0687&lt;/td&gt;&lt;td&gt;9.11&lt;/td&gt;&lt;td&gt;13.56&lt;/td&gt;&lt;td&gt;8&lt;/td&gt;&lt;/tr&gt;</t>
  </si>
  <si>
    <t>&lt;tr&gt;&lt;td&gt;4&lt;/td&gt;&lt;td&gt;4.5&lt;/td&gt;&lt;td&gt;4.03&lt;/td&gt;&lt;td&gt;0.24&lt;/td&gt;&lt;td&gt;15.9&lt;/td&gt;&lt;td&gt;12.73&lt;/td&gt;&lt;td&gt;3.17&lt;/td&gt;&lt;td&gt;0.85&lt;/td&gt;&lt;td&gt;0.95&lt;/td&gt;&lt;td&gt;0.0884&lt;/td&gt;&lt;td&gt;10.79&lt;/td&gt;&lt;td&gt;16.06&lt;/td&gt;&lt;td&gt;8&lt;/td&gt;&lt;/tr&gt;</t>
  </si>
  <si>
    <t>&lt;tr&gt;&lt;td&gt;5&lt;/td&gt;&lt;td&gt;5.56&lt;/td&gt;&lt;td&gt;5.05&lt;/td&gt;&lt;td&gt;0.26&lt;/td&gt;&lt;td&gt;24.3&lt;/td&gt;&lt;td&gt;20&lt;/td&gt;&lt;td&gt;4.3&lt;/td&gt;&lt;td&gt;0.69&lt;/td&gt;&lt;td&gt;0.76&lt;/td&gt;&lt;td&gt;0.1389&lt;/td&gt;&lt;td&gt;14.61&lt;/td&gt;&lt;td&gt;21.74&lt;/td&gt;&lt;td&gt;8&lt;/td&gt;&lt;/tr&gt;</t>
  </si>
  <si>
    <t>&lt;tr&gt;&lt;td&gt;6&lt;/td&gt;&lt;td&gt;6.63&lt;/td&gt;&lt;td&gt;6.07&lt;/td&gt;&lt;td&gt;0.28&lt;/td&gt;&lt;td&gt;34.47&lt;/td&gt;&lt;td&gt;28.89&lt;/td&gt;&lt;td&gt;5.58&lt;/td&gt;&lt;td&gt;0.58&lt;/td&gt;&lt;td&gt;0.63&lt;/td&gt;&lt;td&gt;0.2006&lt;/td&gt;&lt;td&gt;18.97&lt;/td&gt;&lt;td&gt;28.23&lt;/td&gt;&lt;td&gt;8&lt;/td&gt;&lt;/tr&gt;</t>
  </si>
  <si>
    <t>&lt;tr&gt;&lt;td&gt;8&lt;/td&gt;&lt;td&gt;8.63&lt;/td&gt;&lt;td&gt;7.98&lt;/td&gt;&lt;td&gt;0.32&lt;/td&gt;&lt;td&gt;58.42&lt;/td&gt;&lt;td&gt;50.02&lt;/td&gt;&lt;td&gt;8.4&lt;/td&gt;&lt;td&gt;0.44&lt;/td&gt;&lt;td&gt;0.48&lt;/td&gt;&lt;td&gt;0.3552&lt;/td&gt;&lt;td&gt;28.55&lt;/td&gt;&lt;td&gt;42.49&lt;/td&gt;&lt;td&gt;8&lt;/td&gt;&lt;/tr&gt;</t>
  </si>
  <si>
    <t>&lt;tr&gt;&lt;td&gt;10&lt;/td&gt;&lt;td&gt;10.75&lt;/td&gt;&lt;td&gt;10.02&lt;/td&gt;&lt;td&gt;0.37&lt;/td&gt;&lt;td&gt;90.76&lt;/td&gt;&lt;td&gt;78.85&lt;/td&gt;&lt;td&gt;11.9&lt;/td&gt;&lt;td&gt;0.36&lt;/td&gt;&lt;td&gt;0.38&lt;/td&gt;&lt;td&gt;0.5476&lt;/td&gt;&lt;td&gt;40.48&lt;/td&gt;&lt;td&gt;60.24&lt;/td&gt;&lt;td&gt;8&lt;/td&gt;&lt;/tr&gt;</t>
  </si>
  <si>
    <t>&lt;tr&gt;&lt;td&gt;12&lt;/td&gt;&lt;td&gt;12.75&lt;/td&gt;&lt;td&gt;11.94&lt;/td&gt;&lt;td&gt;0.41&lt;/td&gt;&lt;td&gt;127.64&lt;/td&gt;&lt;td&gt;111.9&lt;/td&gt;&lt;td&gt;15.74&lt;/td&gt;&lt;td&gt;0.3&lt;/td&gt;&lt;td&gt;0.32&lt;/td&gt;&lt;td&gt;0.7763&lt;/td&gt;&lt;td&gt;53.6&lt;/td&gt;&lt;td&gt;79.77&lt;/td&gt;&lt;td&gt;8&lt;/td&gt;&lt;/tr&gt;</t>
  </si>
  <si>
    <t>&lt;tr&gt;&lt;td&gt;14&lt;/td&gt;&lt;td&gt;14&lt;/td&gt;&lt;td&gt;13.13&lt;/td&gt;&lt;td&gt;0.44&lt;/td&gt;&lt;td&gt;153.94&lt;/td&gt;&lt;td&gt;135.3&lt;/td&gt;&lt;td&gt;18.64&lt;/td&gt;&lt;td&gt;0.27&lt;/td&gt;&lt;td&gt;0.28&lt;/td&gt;&lt;td&gt;0.9354&lt;/td&gt;&lt;td&gt;63&lt;/td&gt;&lt;td&gt;93.75&lt;/td&gt;&lt;td&gt;8&lt;/td&gt;&lt;/tr&gt;</t>
  </si>
  <si>
    <t>&lt;tr&gt;&lt;td&gt;16&lt;/td&gt;&lt;td&gt;16&lt;/td&gt;&lt;td&gt;15&lt;/td&gt;&lt;td&gt;0.5&lt;/td&gt;&lt;td&gt;201.05&lt;/td&gt;&lt;td&gt;176.7&lt;/td&gt;&lt;td&gt;24.35&lt;/td&gt;&lt;td&gt;0.24&lt;/td&gt;&lt;td&gt;0.25&lt;/td&gt;&lt;td&gt;1.223&lt;/td&gt;&lt;td&gt;78&lt;/td&gt;&lt;td&gt;116.08&lt;/td&gt;&lt;td&gt;8&lt;/td&gt;&lt;/tr&gt;</t>
  </si>
  <si>
    <t>&lt;tr&gt;&lt;td&gt;18&lt;/td&gt;&lt;td&gt;18&lt;/td&gt;&lt;td&gt;16.88&lt;/td&gt;&lt;td&gt;0.56&lt;/td&gt;&lt;td&gt;254.85&lt;/td&gt;&lt;td&gt;224&lt;/td&gt;&lt;td&gt;30.85&lt;/td&gt;&lt;td&gt;0.21&lt;/td&gt;&lt;td&gt;0.23&lt;/td&gt;&lt;td&gt;1.555&lt;/td&gt;&lt;td&gt;105&lt;/td&gt;&lt;td&gt;156.26&lt;/td&gt;&lt;td&gt;8&lt;/td&gt;&lt;/tr&gt;</t>
  </si>
  <si>
    <t>&lt;tr&gt;&lt;td&gt;20&lt;/td&gt;&lt;td&gt;20&lt;/td&gt;&lt;td&gt;18.81&lt;/td&gt;&lt;td&gt;0.59&lt;/td&gt;&lt;td&gt;314.15&lt;/td&gt;&lt;td&gt;278&lt;/td&gt;&lt;td&gt;36.15&lt;/td&gt;&lt;td&gt;0.19&lt;/td&gt;&lt;td&gt;0.2&lt;/td&gt;&lt;td&gt;1.926&lt;/td&gt;&lt;td&gt;123&lt;/td&gt;&lt;td&gt;183.05&lt;/td&gt;&lt;td&gt;8&lt;/td&gt;&lt;/tr&gt;</t>
  </si>
  <si>
    <t>&lt;tr&gt;&lt;td&gt;24&lt;/td&gt;&lt;td&gt;24&lt;/td&gt;&lt;td&gt;22.63&lt;/td&gt;&lt;td&gt;0.69&lt;/td&gt;&lt;td&gt;452.4&lt;/td&gt;&lt;td&gt;402.1&lt;/td&gt;&lt;td&gt;50.3&lt;/td&gt;&lt;td&gt;0.16&lt;/td&gt;&lt;td&gt;0.17&lt;/td&gt;&lt;td&gt;2.793&lt;/td&gt;&lt;td&gt;171&lt;/td&gt;&lt;td&gt;254.48&lt;/td&gt;&lt;td&gt;8&lt;/td&gt;&lt;/tr&gt;</t>
  </si>
  <si>
    <t>&lt;/table&gt;</t>
  </si>
  <si>
    <t>&lt;/body&gt;</t>
  </si>
  <si>
    <t>&lt;/html&gt;</t>
  </si>
  <si>
    <t>paste paragraphs</t>
  </si>
  <si>
    <t>in this column</t>
  </si>
  <si>
    <t>浏览ASPE分会的网页增加知识</t>
  </si>
  <si>
    <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t>
  </si>
</sst>
</file>

<file path=xl/styles.xml><?xml version="1.0" encoding="utf-8"?>
<styleSheet xmlns="http://schemas.openxmlformats.org/spreadsheetml/2006/main">
  <numFmts count="2">
    <numFmt numFmtId="168" formatCode="#\ ???/???"/>
    <numFmt numFmtId="170" formatCode="m/d;@"/>
  </numFmts>
  <fonts count="10">
    <font>
      <sz val="11"/>
      <color theme="1"/>
      <name val="Calibri"/>
      <family val="2"/>
      <scheme val="minor"/>
    </font>
    <font>
      <sz val="11"/>
      <color theme="1"/>
      <name val="Arial"/>
      <family val="2"/>
    </font>
    <font>
      <i/>
      <sz val="11"/>
      <color theme="1"/>
      <name val="Arial"/>
      <family val="2"/>
    </font>
    <font>
      <i/>
      <vertAlign val="superscript"/>
      <sz val="11"/>
      <color theme="1"/>
      <name val="Arial"/>
      <family val="2"/>
    </font>
    <font>
      <sz val="10"/>
      <color theme="1"/>
      <name val="Calibri"/>
      <family val="2"/>
      <scheme val="minor"/>
    </font>
    <font>
      <b/>
      <sz val="10"/>
      <color theme="1"/>
      <name val="Calibri"/>
      <family val="2"/>
      <scheme val="minor"/>
    </font>
    <font>
      <sz val="8"/>
      <color theme="1"/>
      <name val="Calibri"/>
      <family val="2"/>
      <scheme val="minor"/>
    </font>
    <font>
      <sz val="8"/>
      <name val="宋体"/>
      <charset val="134"/>
    </font>
    <font>
      <u/>
      <sz val="11"/>
      <color theme="10"/>
      <name val="Calibri"/>
      <family val="2"/>
    </font>
    <font>
      <u/>
      <sz val="8"/>
      <name val="Calibri"/>
      <family val="2"/>
    </font>
  </fonts>
  <fills count="6">
    <fill>
      <patternFill patternType="none"/>
    </fill>
    <fill>
      <patternFill patternType="gray125"/>
    </fill>
    <fill>
      <patternFill patternType="solid">
        <fgColor theme="8"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0.49998474074526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32">
    <xf numFmtId="0" fontId="0" fillId="0" borderId="0" xfId="0"/>
    <xf numFmtId="0" fontId="0" fillId="0" borderId="0" xfId="0" quotePrefix="1"/>
    <xf numFmtId="0" fontId="0" fillId="0" borderId="0" xfId="0" applyAlignment="1">
      <alignment horizontal="right"/>
    </xf>
    <xf numFmtId="0" fontId="1" fillId="0" borderId="1" xfId="0" applyFont="1" applyBorder="1" applyAlignment="1">
      <alignment horizontal="center" wrapText="1"/>
    </xf>
    <xf numFmtId="0" fontId="2" fillId="0" borderId="1" xfId="0" applyFont="1" applyBorder="1" applyAlignment="1">
      <alignment horizontal="center"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2" fillId="0" borderId="5" xfId="0" applyFont="1" applyBorder="1" applyAlignment="1">
      <alignment horizontal="center" wrapText="1"/>
    </xf>
    <xf numFmtId="0" fontId="1" fillId="0" borderId="6" xfId="0" applyFont="1" applyBorder="1" applyAlignment="1">
      <alignment horizontal="center" wrapText="1"/>
    </xf>
    <xf numFmtId="0" fontId="1" fillId="0" borderId="5" xfId="0" applyFont="1" applyBorder="1" applyAlignment="1">
      <alignment horizontal="center" wrapText="1"/>
    </xf>
    <xf numFmtId="0" fontId="1" fillId="0" borderId="7" xfId="0" applyFont="1" applyBorder="1" applyAlignment="1">
      <alignment horizontal="center" wrapText="1"/>
    </xf>
    <xf numFmtId="0" fontId="1" fillId="0" borderId="8" xfId="0" applyFont="1" applyBorder="1" applyAlignment="1">
      <alignment horizontal="center" wrapText="1"/>
    </xf>
    <xf numFmtId="0" fontId="1" fillId="0" borderId="9" xfId="0" applyFont="1" applyBorder="1" applyAlignment="1">
      <alignment horizontal="center" wrapText="1"/>
    </xf>
    <xf numFmtId="0" fontId="0" fillId="0" borderId="0" xfId="0" applyAlignment="1">
      <alignment horizontal="center"/>
    </xf>
    <xf numFmtId="0" fontId="1" fillId="0" borderId="3" xfId="0" applyFont="1" applyBorder="1" applyAlignment="1">
      <alignment horizontal="center" wrapText="1"/>
    </xf>
    <xf numFmtId="0" fontId="1" fillId="0" borderId="1" xfId="0" applyFont="1" applyBorder="1" applyAlignment="1">
      <alignment horizontal="center" wrapText="1"/>
    </xf>
    <xf numFmtId="0" fontId="0" fillId="0" borderId="4" xfId="0" applyBorder="1" applyAlignment="1">
      <alignment horizontal="center" wrapText="1"/>
    </xf>
    <xf numFmtId="0" fontId="0" fillId="0" borderId="6" xfId="0" applyBorder="1" applyAlignment="1">
      <alignment horizontal="center" wrapText="1"/>
    </xf>
    <xf numFmtId="0" fontId="2" fillId="0" borderId="1" xfId="0" applyFont="1" applyBorder="1" applyAlignment="1">
      <alignment horizontal="center" wrapText="1"/>
    </xf>
    <xf numFmtId="0" fontId="5" fillId="0" borderId="0" xfId="0" applyFont="1" applyAlignment="1">
      <alignment horizontal="center" vertical="center" wrapText="1"/>
    </xf>
    <xf numFmtId="0" fontId="4" fillId="0" borderId="0" xfId="0" applyFont="1" applyAlignment="1">
      <alignment wrapText="1"/>
    </xf>
    <xf numFmtId="0" fontId="4" fillId="0" borderId="0" xfId="0" applyFont="1" applyAlignment="1">
      <alignment horizontal="center"/>
    </xf>
    <xf numFmtId="0" fontId="0" fillId="0" borderId="0" xfId="0"/>
    <xf numFmtId="12" fontId="1" fillId="0" borderId="5" xfId="0" applyNumberFormat="1" applyFont="1" applyBorder="1" applyAlignment="1">
      <alignment horizontal="center" wrapText="1"/>
    </xf>
    <xf numFmtId="168" fontId="1" fillId="0" borderId="5" xfId="0" applyNumberFormat="1" applyFont="1" applyBorder="1" applyAlignment="1">
      <alignment horizontal="center" wrapText="1"/>
    </xf>
    <xf numFmtId="170" fontId="4" fillId="0" borderId="0" xfId="0" applyNumberFormat="1" applyFont="1" applyAlignment="1">
      <alignment wrapText="1"/>
    </xf>
    <xf numFmtId="0" fontId="0" fillId="2" borderId="0" xfId="0" applyFill="1"/>
    <xf numFmtId="0" fontId="0" fillId="3" borderId="0" xfId="0" applyFill="1"/>
    <xf numFmtId="0" fontId="6" fillId="4" borderId="0" xfId="0" applyFont="1" applyFill="1" applyAlignment="1">
      <alignment horizontal="left" vertical="top" wrapText="1"/>
    </xf>
    <xf numFmtId="0" fontId="6" fillId="5" borderId="0" xfId="0" applyFont="1" applyFill="1" applyAlignment="1">
      <alignment horizontal="left" vertical="top" wrapText="1"/>
    </xf>
    <xf numFmtId="0" fontId="7" fillId="0" borderId="0" xfId="0" applyFont="1" applyAlignment="1">
      <alignment wrapText="1"/>
    </xf>
    <xf numFmtId="0" fontId="9" fillId="0" borderId="0" xfId="1" applyNumberFormat="1" applyFont="1" applyAlignment="1" applyProtection="1">
      <alignmen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control" Target="../activeX/activeX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B1:R43"/>
  <sheetViews>
    <sheetView workbookViewId="0">
      <selection activeCell="O28" sqref="O28"/>
    </sheetView>
  </sheetViews>
  <sheetFormatPr defaultRowHeight="14.25"/>
  <cols>
    <col min="2" max="2" width="10.5703125" bestFit="1" customWidth="1"/>
  </cols>
  <sheetData>
    <row r="1" spans="2:18">
      <c r="F1" t="s">
        <v>29</v>
      </c>
      <c r="G1" s="13" t="s">
        <v>30</v>
      </c>
      <c r="H1" t="s">
        <v>34</v>
      </c>
    </row>
    <row r="2" spans="2:18">
      <c r="G2" s="13" t="s">
        <v>31</v>
      </c>
      <c r="H2" t="s">
        <v>35</v>
      </c>
    </row>
    <row r="3" spans="2:18">
      <c r="G3" s="13" t="s">
        <v>32</v>
      </c>
      <c r="H3" t="s">
        <v>33</v>
      </c>
    </row>
    <row r="4" spans="2:18">
      <c r="P4" t="s">
        <v>36</v>
      </c>
    </row>
    <row r="5" spans="2:18" ht="15.1" thickBot="1">
      <c r="N5" s="2" t="s">
        <v>28</v>
      </c>
      <c r="P5" s="1" t="s">
        <v>37</v>
      </c>
    </row>
    <row r="6" spans="2:18" ht="42.7">
      <c r="B6" s="5" t="s">
        <v>0</v>
      </c>
      <c r="C6" s="14" t="s">
        <v>2</v>
      </c>
      <c r="D6" s="14"/>
      <c r="E6" s="6" t="s">
        <v>3</v>
      </c>
      <c r="F6" s="14" t="s">
        <v>4</v>
      </c>
      <c r="G6" s="14"/>
      <c r="H6" s="14"/>
      <c r="I6" s="14" t="s">
        <v>6</v>
      </c>
      <c r="J6" s="14"/>
      <c r="K6" s="6" t="s">
        <v>8</v>
      </c>
      <c r="L6" s="14" t="s">
        <v>10</v>
      </c>
      <c r="M6" s="14"/>
      <c r="N6" s="16" t="s">
        <v>11</v>
      </c>
      <c r="P6" t="s">
        <v>38</v>
      </c>
    </row>
    <row r="7" spans="2:18" ht="15.95">
      <c r="B7" s="7" t="s">
        <v>1</v>
      </c>
      <c r="C7" s="18" t="s">
        <v>1</v>
      </c>
      <c r="D7" s="18"/>
      <c r="E7" s="4" t="s">
        <v>1</v>
      </c>
      <c r="F7" s="18" t="s">
        <v>5</v>
      </c>
      <c r="G7" s="18"/>
      <c r="H7" s="18"/>
      <c r="I7" s="18" t="s">
        <v>7</v>
      </c>
      <c r="J7" s="18"/>
      <c r="K7" s="4" t="s">
        <v>9</v>
      </c>
      <c r="L7" s="15"/>
      <c r="M7" s="15"/>
      <c r="N7" s="17"/>
      <c r="P7" t="s">
        <v>39</v>
      </c>
    </row>
    <row r="8" spans="2:18" ht="28.5">
      <c r="B8" s="7"/>
      <c r="C8" s="15" t="s">
        <v>12</v>
      </c>
      <c r="D8" s="15" t="s">
        <v>13</v>
      </c>
      <c r="E8" s="4"/>
      <c r="F8" s="15" t="s">
        <v>12</v>
      </c>
      <c r="G8" s="15" t="s">
        <v>13</v>
      </c>
      <c r="H8" s="15" t="s">
        <v>14</v>
      </c>
      <c r="I8" s="3" t="s">
        <v>15</v>
      </c>
      <c r="J8" s="15" t="s">
        <v>17</v>
      </c>
      <c r="K8" s="4"/>
      <c r="L8" s="18" t="s">
        <v>18</v>
      </c>
      <c r="M8" s="18" t="s">
        <v>19</v>
      </c>
      <c r="N8" s="17"/>
      <c r="P8" t="s">
        <v>40</v>
      </c>
    </row>
    <row r="9" spans="2:18">
      <c r="B9" s="7"/>
      <c r="C9" s="15"/>
      <c r="D9" s="15"/>
      <c r="E9" s="4"/>
      <c r="F9" s="15"/>
      <c r="G9" s="15"/>
      <c r="H9" s="15"/>
      <c r="I9" s="4" t="s">
        <v>16</v>
      </c>
      <c r="J9" s="15"/>
      <c r="K9" s="4"/>
      <c r="L9" s="18"/>
      <c r="M9" s="18"/>
      <c r="N9" s="17"/>
      <c r="P9" t="s">
        <v>41</v>
      </c>
    </row>
    <row r="10" spans="2:18">
      <c r="B10" s="23">
        <v>0.125</v>
      </c>
      <c r="C10" s="3">
        <v>0.41</v>
      </c>
      <c r="D10" s="3">
        <v>0.27</v>
      </c>
      <c r="E10" s="3">
        <v>7.0000000000000007E-2</v>
      </c>
      <c r="F10" s="3">
        <v>0.13</v>
      </c>
      <c r="G10" s="3">
        <v>0.06</v>
      </c>
      <c r="H10" s="3">
        <v>7.0000000000000007E-2</v>
      </c>
      <c r="I10" s="3">
        <v>9.43</v>
      </c>
      <c r="J10" s="3">
        <v>14.2</v>
      </c>
      <c r="K10" s="3">
        <v>4.0000000000000002E-4</v>
      </c>
      <c r="L10" s="3">
        <v>0.24</v>
      </c>
      <c r="M10" s="3">
        <v>0.36</v>
      </c>
      <c r="N10" s="8">
        <v>27</v>
      </c>
      <c r="P10" t="s">
        <v>42</v>
      </c>
    </row>
    <row r="11" spans="2:18">
      <c r="B11" s="9" t="s">
        <v>20</v>
      </c>
      <c r="C11" s="3">
        <v>0.54</v>
      </c>
      <c r="D11" s="3">
        <v>0.36</v>
      </c>
      <c r="E11" s="3">
        <v>0.09</v>
      </c>
      <c r="F11" s="3">
        <v>0.23</v>
      </c>
      <c r="G11" s="3">
        <v>0.1</v>
      </c>
      <c r="H11" s="3">
        <v>0.13</v>
      </c>
      <c r="I11" s="3">
        <v>7.07</v>
      </c>
      <c r="J11" s="3">
        <v>10.49</v>
      </c>
      <c r="K11" s="3">
        <v>6.9999999999999999E-4</v>
      </c>
      <c r="L11" s="3">
        <v>0.42</v>
      </c>
      <c r="M11" s="3">
        <v>0.63</v>
      </c>
      <c r="N11" s="8">
        <v>18</v>
      </c>
      <c r="P11" t="s">
        <v>43</v>
      </c>
    </row>
    <row r="12" spans="2:18">
      <c r="B12" s="24">
        <v>0.375</v>
      </c>
      <c r="C12" s="3">
        <v>0.68</v>
      </c>
      <c r="D12" s="3">
        <v>0.49</v>
      </c>
      <c r="E12" s="3">
        <v>0.09</v>
      </c>
      <c r="F12" s="3">
        <v>0.36</v>
      </c>
      <c r="G12" s="3">
        <v>0.19</v>
      </c>
      <c r="H12" s="3">
        <v>0.17</v>
      </c>
      <c r="I12" s="3">
        <v>5.66</v>
      </c>
      <c r="J12" s="3">
        <v>7.75</v>
      </c>
      <c r="K12" s="3">
        <v>1.2999999999999999E-3</v>
      </c>
      <c r="L12" s="3">
        <v>0.56999999999999995</v>
      </c>
      <c r="M12" s="3">
        <v>0.84</v>
      </c>
      <c r="N12" s="8">
        <v>18</v>
      </c>
      <c r="Q12" t="s">
        <v>44</v>
      </c>
    </row>
    <row r="13" spans="2:18">
      <c r="B13" s="9" t="s">
        <v>21</v>
      </c>
      <c r="C13" s="3">
        <v>0.84</v>
      </c>
      <c r="D13" s="3">
        <v>0.62</v>
      </c>
      <c r="E13" s="3">
        <v>0.11</v>
      </c>
      <c r="F13" s="3">
        <v>0.55000000000000004</v>
      </c>
      <c r="G13" s="3">
        <v>0.3</v>
      </c>
      <c r="H13" s="3">
        <v>0.25</v>
      </c>
      <c r="I13" s="3">
        <v>4.55</v>
      </c>
      <c r="J13" s="3">
        <v>6.14</v>
      </c>
      <c r="K13" s="3">
        <v>2.0999999999999999E-3</v>
      </c>
      <c r="L13" s="3">
        <v>0.85</v>
      </c>
      <c r="M13" s="3">
        <v>1.26</v>
      </c>
      <c r="N13" s="8">
        <v>14</v>
      </c>
      <c r="R13" t="s">
        <v>45</v>
      </c>
    </row>
    <row r="14" spans="2:18">
      <c r="B14" s="9" t="s">
        <v>22</v>
      </c>
      <c r="C14" s="3">
        <v>1.05</v>
      </c>
      <c r="D14" s="3">
        <v>0.82</v>
      </c>
      <c r="E14" s="3">
        <v>0.11</v>
      </c>
      <c r="F14" s="3">
        <v>0.87</v>
      </c>
      <c r="G14" s="3">
        <v>0.53</v>
      </c>
      <c r="H14" s="3">
        <v>0.33</v>
      </c>
      <c r="I14" s="3">
        <v>3.64</v>
      </c>
      <c r="J14" s="3">
        <v>4.6399999999999997</v>
      </c>
      <c r="K14" s="3">
        <v>3.7000000000000002E-3</v>
      </c>
      <c r="L14" s="3">
        <v>1.1299999999999999</v>
      </c>
      <c r="M14" s="3">
        <v>1.68</v>
      </c>
      <c r="N14" s="8">
        <v>14</v>
      </c>
      <c r="R14" t="s">
        <v>46</v>
      </c>
    </row>
    <row r="15" spans="2:18">
      <c r="B15" s="9">
        <v>1</v>
      </c>
      <c r="C15" s="3">
        <v>1.32</v>
      </c>
      <c r="D15" s="3">
        <v>1.05</v>
      </c>
      <c r="E15" s="3">
        <v>0.13</v>
      </c>
      <c r="F15" s="3">
        <v>1.36</v>
      </c>
      <c r="G15" s="3">
        <v>0.86</v>
      </c>
      <c r="H15" s="3">
        <v>0.49</v>
      </c>
      <c r="I15" s="3">
        <v>2.9</v>
      </c>
      <c r="J15" s="3">
        <v>3.64</v>
      </c>
      <c r="K15" s="3">
        <v>6.0000000000000001E-3</v>
      </c>
      <c r="L15" s="3">
        <v>1.68</v>
      </c>
      <c r="M15" s="3">
        <v>2.5</v>
      </c>
      <c r="N15" s="8" t="s">
        <v>23</v>
      </c>
      <c r="R15" t="s">
        <v>47</v>
      </c>
    </row>
    <row r="16" spans="2:18">
      <c r="B16" s="9" t="s">
        <v>24</v>
      </c>
      <c r="C16" s="3">
        <v>1.66</v>
      </c>
      <c r="D16" s="3">
        <v>1.38</v>
      </c>
      <c r="E16" s="3">
        <v>0.14000000000000001</v>
      </c>
      <c r="F16" s="3">
        <v>2.16</v>
      </c>
      <c r="G16" s="3">
        <v>1.5</v>
      </c>
      <c r="H16" s="3">
        <v>0.67</v>
      </c>
      <c r="I16" s="3">
        <v>2.2999999999999998</v>
      </c>
      <c r="J16" s="3">
        <v>2.77</v>
      </c>
      <c r="K16" s="3">
        <v>1.04E-2</v>
      </c>
      <c r="L16" s="3">
        <v>2.27</v>
      </c>
      <c r="M16" s="3">
        <v>3.38</v>
      </c>
      <c r="N16" s="8" t="s">
        <v>23</v>
      </c>
      <c r="R16" t="s">
        <v>48</v>
      </c>
    </row>
    <row r="17" spans="2:18">
      <c r="B17" s="9" t="s">
        <v>25</v>
      </c>
      <c r="C17" s="3">
        <v>1.9</v>
      </c>
      <c r="D17" s="3">
        <v>1.61</v>
      </c>
      <c r="E17" s="3">
        <v>0.15</v>
      </c>
      <c r="F17" s="3">
        <v>2.84</v>
      </c>
      <c r="G17" s="3">
        <v>2.04</v>
      </c>
      <c r="H17" s="3">
        <v>0.8</v>
      </c>
      <c r="I17" s="3">
        <v>2.0099999999999998</v>
      </c>
      <c r="J17" s="3">
        <v>2.37</v>
      </c>
      <c r="K17" s="3">
        <v>1.41E-2</v>
      </c>
      <c r="L17" s="3">
        <v>2.72</v>
      </c>
      <c r="M17" s="3">
        <v>4.04</v>
      </c>
      <c r="N17" s="8" t="s">
        <v>23</v>
      </c>
      <c r="R17" t="s">
        <v>49</v>
      </c>
    </row>
    <row r="18" spans="2:18">
      <c r="B18" s="9">
        <v>2</v>
      </c>
      <c r="C18" s="3">
        <v>2.38</v>
      </c>
      <c r="D18" s="3">
        <v>2.0699999999999998</v>
      </c>
      <c r="E18" s="3">
        <v>0.15</v>
      </c>
      <c r="F18" s="3">
        <v>4.43</v>
      </c>
      <c r="G18" s="3">
        <v>3.36</v>
      </c>
      <c r="H18" s="3">
        <v>1.08</v>
      </c>
      <c r="I18" s="3">
        <v>1.61</v>
      </c>
      <c r="J18" s="3">
        <v>1.85</v>
      </c>
      <c r="K18" s="3">
        <v>2.3300000000000001E-2</v>
      </c>
      <c r="L18" s="3">
        <v>3.65</v>
      </c>
      <c r="M18" s="3">
        <v>5.43</v>
      </c>
      <c r="N18" s="8" t="s">
        <v>23</v>
      </c>
      <c r="R18" t="s">
        <v>50</v>
      </c>
    </row>
    <row r="19" spans="2:18">
      <c r="B19" s="9" t="s">
        <v>26</v>
      </c>
      <c r="C19" s="3">
        <v>2.88</v>
      </c>
      <c r="D19" s="3">
        <v>2.4700000000000002</v>
      </c>
      <c r="E19" s="3">
        <v>0.2</v>
      </c>
      <c r="F19" s="3">
        <v>6.49</v>
      </c>
      <c r="G19" s="3">
        <v>4.79</v>
      </c>
      <c r="H19" s="3">
        <v>1.7</v>
      </c>
      <c r="I19" s="3">
        <v>1.33</v>
      </c>
      <c r="J19" s="3">
        <v>1.55</v>
      </c>
      <c r="K19" s="3">
        <v>3.3300000000000003E-2</v>
      </c>
      <c r="L19" s="3">
        <v>5.79</v>
      </c>
      <c r="M19" s="3">
        <v>8.6199999999999992</v>
      </c>
      <c r="N19" s="8">
        <v>8</v>
      </c>
      <c r="R19" t="s">
        <v>51</v>
      </c>
    </row>
    <row r="20" spans="2:18">
      <c r="B20" s="9">
        <v>3</v>
      </c>
      <c r="C20" s="3">
        <v>3.5</v>
      </c>
      <c r="D20" s="3">
        <v>3.07</v>
      </c>
      <c r="E20" s="3">
        <v>0.22</v>
      </c>
      <c r="F20" s="3">
        <v>9.6199999999999992</v>
      </c>
      <c r="G20" s="3">
        <v>7.39</v>
      </c>
      <c r="H20" s="3">
        <v>2.23</v>
      </c>
      <c r="I20" s="3">
        <v>1.0900000000000001</v>
      </c>
      <c r="J20" s="3">
        <v>1.25</v>
      </c>
      <c r="K20" s="3">
        <v>5.1299999999999998E-2</v>
      </c>
      <c r="L20" s="3">
        <v>7.58</v>
      </c>
      <c r="M20" s="3">
        <v>11.27</v>
      </c>
      <c r="N20" s="8">
        <v>8</v>
      </c>
      <c r="R20" t="s">
        <v>52</v>
      </c>
    </row>
    <row r="21" spans="2:18">
      <c r="B21" s="9" t="s">
        <v>27</v>
      </c>
      <c r="C21" s="3">
        <v>4</v>
      </c>
      <c r="D21" s="3">
        <v>3.55</v>
      </c>
      <c r="E21" s="3">
        <v>0.23</v>
      </c>
      <c r="F21" s="3">
        <v>12.56</v>
      </c>
      <c r="G21" s="3">
        <v>9.89</v>
      </c>
      <c r="H21" s="3">
        <v>2.68</v>
      </c>
      <c r="I21" s="3">
        <v>0.95</v>
      </c>
      <c r="J21" s="3">
        <v>1.08</v>
      </c>
      <c r="K21" s="3">
        <v>6.8699999999999997E-2</v>
      </c>
      <c r="L21" s="3">
        <v>9.11</v>
      </c>
      <c r="M21" s="3">
        <v>13.56</v>
      </c>
      <c r="N21" s="8">
        <v>8</v>
      </c>
      <c r="R21" t="s">
        <v>53</v>
      </c>
    </row>
    <row r="22" spans="2:18">
      <c r="B22" s="9">
        <v>4</v>
      </c>
      <c r="C22" s="3">
        <v>4.5</v>
      </c>
      <c r="D22" s="3">
        <v>4.03</v>
      </c>
      <c r="E22" s="3">
        <v>0.24</v>
      </c>
      <c r="F22" s="3">
        <v>15.9</v>
      </c>
      <c r="G22" s="3">
        <v>12.73</v>
      </c>
      <c r="H22" s="3">
        <v>3.17</v>
      </c>
      <c r="I22" s="3">
        <v>0.85</v>
      </c>
      <c r="J22" s="3">
        <v>0.95</v>
      </c>
      <c r="K22" s="3">
        <v>8.8400000000000006E-2</v>
      </c>
      <c r="L22" s="3">
        <v>10.79</v>
      </c>
      <c r="M22" s="3">
        <v>16.059999999999999</v>
      </c>
      <c r="N22" s="8">
        <v>8</v>
      </c>
      <c r="R22" t="s">
        <v>54</v>
      </c>
    </row>
    <row r="23" spans="2:18">
      <c r="B23" s="9">
        <v>5</v>
      </c>
      <c r="C23" s="3">
        <v>5.56</v>
      </c>
      <c r="D23" s="3">
        <v>5.05</v>
      </c>
      <c r="E23" s="3">
        <v>0.26</v>
      </c>
      <c r="F23" s="3">
        <v>24.3</v>
      </c>
      <c r="G23" s="3">
        <v>20</v>
      </c>
      <c r="H23" s="3">
        <v>4.3</v>
      </c>
      <c r="I23" s="3">
        <v>0.69</v>
      </c>
      <c r="J23" s="3">
        <v>0.76</v>
      </c>
      <c r="K23" s="3">
        <v>0.1389</v>
      </c>
      <c r="L23" s="3">
        <v>14.61</v>
      </c>
      <c r="M23" s="3">
        <v>21.74</v>
      </c>
      <c r="N23" s="8">
        <v>8</v>
      </c>
      <c r="R23" t="s">
        <v>55</v>
      </c>
    </row>
    <row r="24" spans="2:18">
      <c r="B24" s="9">
        <v>6</v>
      </c>
      <c r="C24" s="3">
        <v>6.63</v>
      </c>
      <c r="D24" s="3">
        <v>6.07</v>
      </c>
      <c r="E24" s="3">
        <v>0.28000000000000003</v>
      </c>
      <c r="F24" s="3">
        <v>34.47</v>
      </c>
      <c r="G24" s="3">
        <v>28.89</v>
      </c>
      <c r="H24" s="3">
        <v>5.58</v>
      </c>
      <c r="I24" s="3">
        <v>0.57999999999999996</v>
      </c>
      <c r="J24" s="3">
        <v>0.63</v>
      </c>
      <c r="K24" s="3">
        <v>0.2006</v>
      </c>
      <c r="L24" s="3">
        <v>18.97</v>
      </c>
      <c r="M24" s="3">
        <v>28.23</v>
      </c>
      <c r="N24" s="8">
        <v>8</v>
      </c>
      <c r="R24" t="s">
        <v>56</v>
      </c>
    </row>
    <row r="25" spans="2:18">
      <c r="B25" s="9">
        <v>8</v>
      </c>
      <c r="C25" s="3">
        <v>8.6300000000000008</v>
      </c>
      <c r="D25" s="3">
        <v>7.98</v>
      </c>
      <c r="E25" s="3">
        <v>0.32</v>
      </c>
      <c r="F25" s="3">
        <v>58.42</v>
      </c>
      <c r="G25" s="3">
        <v>50.02</v>
      </c>
      <c r="H25" s="3">
        <v>8.4</v>
      </c>
      <c r="I25" s="3">
        <v>0.44</v>
      </c>
      <c r="J25" s="3">
        <v>0.48</v>
      </c>
      <c r="K25" s="3">
        <v>0.35520000000000002</v>
      </c>
      <c r="L25" s="3">
        <v>28.55</v>
      </c>
      <c r="M25" s="3">
        <v>42.49</v>
      </c>
      <c r="N25" s="8">
        <v>8</v>
      </c>
      <c r="R25" t="s">
        <v>57</v>
      </c>
    </row>
    <row r="26" spans="2:18">
      <c r="B26" s="9">
        <v>10</v>
      </c>
      <c r="C26" s="3">
        <v>10.75</v>
      </c>
      <c r="D26" s="3">
        <v>10.02</v>
      </c>
      <c r="E26" s="3">
        <v>0.37</v>
      </c>
      <c r="F26" s="3">
        <v>90.76</v>
      </c>
      <c r="G26" s="3">
        <v>78.849999999999994</v>
      </c>
      <c r="H26" s="3">
        <v>11.9</v>
      </c>
      <c r="I26" s="3">
        <v>0.36</v>
      </c>
      <c r="J26" s="3">
        <v>0.38</v>
      </c>
      <c r="K26" s="3">
        <v>0.54759999999999998</v>
      </c>
      <c r="L26" s="3">
        <v>40.479999999999997</v>
      </c>
      <c r="M26" s="3">
        <v>60.24</v>
      </c>
      <c r="N26" s="8">
        <v>8</v>
      </c>
      <c r="R26" t="s">
        <v>58</v>
      </c>
    </row>
    <row r="27" spans="2:18">
      <c r="B27" s="9">
        <v>12</v>
      </c>
      <c r="C27" s="3">
        <v>12.75</v>
      </c>
      <c r="D27" s="3">
        <v>11.94</v>
      </c>
      <c r="E27" s="3">
        <v>0.41</v>
      </c>
      <c r="F27" s="3">
        <v>127.64</v>
      </c>
      <c r="G27" s="3">
        <v>111.9</v>
      </c>
      <c r="H27" s="3">
        <v>15.74</v>
      </c>
      <c r="I27" s="3">
        <v>0.3</v>
      </c>
      <c r="J27" s="3">
        <v>0.32</v>
      </c>
      <c r="K27" s="3">
        <v>0.77629999999999999</v>
      </c>
      <c r="L27" s="3">
        <v>53.6</v>
      </c>
      <c r="M27" s="3">
        <v>79.77</v>
      </c>
      <c r="N27" s="8">
        <v>8</v>
      </c>
      <c r="R27" t="s">
        <v>59</v>
      </c>
    </row>
    <row r="28" spans="2:18">
      <c r="B28" s="9">
        <v>14</v>
      </c>
      <c r="C28" s="3">
        <v>14</v>
      </c>
      <c r="D28" s="3">
        <v>13.13</v>
      </c>
      <c r="E28" s="3">
        <v>0.44</v>
      </c>
      <c r="F28" s="3">
        <v>153.94</v>
      </c>
      <c r="G28" s="3">
        <v>135.30000000000001</v>
      </c>
      <c r="H28" s="3">
        <v>18.64</v>
      </c>
      <c r="I28" s="3">
        <v>0.27</v>
      </c>
      <c r="J28" s="3">
        <v>0.28000000000000003</v>
      </c>
      <c r="K28" s="3">
        <v>0.93540000000000001</v>
      </c>
      <c r="L28" s="3">
        <v>63</v>
      </c>
      <c r="M28" s="3">
        <v>93.75</v>
      </c>
      <c r="N28" s="8">
        <v>8</v>
      </c>
      <c r="R28" t="s">
        <v>60</v>
      </c>
    </row>
    <row r="29" spans="2:18">
      <c r="B29" s="9">
        <v>16</v>
      </c>
      <c r="C29" s="3">
        <v>16</v>
      </c>
      <c r="D29" s="3">
        <v>15</v>
      </c>
      <c r="E29" s="3">
        <v>0.5</v>
      </c>
      <c r="F29" s="3">
        <v>201.05</v>
      </c>
      <c r="G29" s="3">
        <v>176.7</v>
      </c>
      <c r="H29" s="3">
        <v>24.35</v>
      </c>
      <c r="I29" s="3">
        <v>0.24</v>
      </c>
      <c r="J29" s="3">
        <v>0.25</v>
      </c>
      <c r="K29" s="3">
        <v>1.2230000000000001</v>
      </c>
      <c r="L29" s="3">
        <v>78</v>
      </c>
      <c r="M29" s="3">
        <v>116.08</v>
      </c>
      <c r="N29" s="8">
        <v>8</v>
      </c>
      <c r="R29" t="s">
        <v>61</v>
      </c>
    </row>
    <row r="30" spans="2:18">
      <c r="B30" s="9">
        <v>18</v>
      </c>
      <c r="C30" s="3">
        <v>18</v>
      </c>
      <c r="D30" s="3">
        <v>16.88</v>
      </c>
      <c r="E30" s="3">
        <v>0.56000000000000005</v>
      </c>
      <c r="F30" s="3">
        <v>254.85</v>
      </c>
      <c r="G30" s="3">
        <v>224</v>
      </c>
      <c r="H30" s="3">
        <v>30.85</v>
      </c>
      <c r="I30" s="3">
        <v>0.21</v>
      </c>
      <c r="J30" s="3">
        <v>0.23</v>
      </c>
      <c r="K30" s="3">
        <v>1.5549999999999999</v>
      </c>
      <c r="L30" s="3">
        <v>105</v>
      </c>
      <c r="M30" s="3">
        <v>156.26</v>
      </c>
      <c r="N30" s="8">
        <v>8</v>
      </c>
      <c r="R30" t="s">
        <v>62</v>
      </c>
    </row>
    <row r="31" spans="2:18">
      <c r="B31" s="9">
        <v>20</v>
      </c>
      <c r="C31" s="3">
        <v>20</v>
      </c>
      <c r="D31" s="3">
        <v>18.809999999999999</v>
      </c>
      <c r="E31" s="3">
        <v>0.59</v>
      </c>
      <c r="F31" s="3">
        <v>314.14999999999998</v>
      </c>
      <c r="G31" s="3">
        <v>278</v>
      </c>
      <c r="H31" s="3">
        <v>36.15</v>
      </c>
      <c r="I31" s="3">
        <v>0.19</v>
      </c>
      <c r="J31" s="3">
        <v>0.2</v>
      </c>
      <c r="K31" s="3">
        <v>1.9259999999999999</v>
      </c>
      <c r="L31" s="3">
        <v>123</v>
      </c>
      <c r="M31" s="3">
        <v>183.05</v>
      </c>
      <c r="N31" s="8">
        <v>8</v>
      </c>
      <c r="R31" t="s">
        <v>63</v>
      </c>
    </row>
    <row r="32" spans="2:18" ht="15.1" thickBot="1">
      <c r="B32" s="10">
        <v>24</v>
      </c>
      <c r="C32" s="11">
        <v>24</v>
      </c>
      <c r="D32" s="11">
        <v>22.63</v>
      </c>
      <c r="E32" s="11">
        <v>0.69</v>
      </c>
      <c r="F32" s="11">
        <v>452.4</v>
      </c>
      <c r="G32" s="11">
        <v>402.1</v>
      </c>
      <c r="H32" s="11">
        <v>50.3</v>
      </c>
      <c r="I32" s="11">
        <v>0.16</v>
      </c>
      <c r="J32" s="11">
        <v>0.17</v>
      </c>
      <c r="K32" s="11">
        <v>2.7930000000000001</v>
      </c>
      <c r="L32" s="11">
        <v>171</v>
      </c>
      <c r="M32" s="11">
        <v>254.48</v>
      </c>
      <c r="N32" s="12">
        <v>8</v>
      </c>
      <c r="R32" t="s">
        <v>64</v>
      </c>
    </row>
    <row r="33" spans="16:18">
      <c r="R33" t="s">
        <v>65</v>
      </c>
    </row>
    <row r="34" spans="16:18">
      <c r="R34" t="s">
        <v>66</v>
      </c>
    </row>
    <row r="35" spans="16:18">
      <c r="R35" t="s">
        <v>67</v>
      </c>
    </row>
    <row r="36" spans="16:18">
      <c r="R36" t="s">
        <v>68</v>
      </c>
    </row>
    <row r="37" spans="16:18">
      <c r="R37" t="s">
        <v>69</v>
      </c>
    </row>
    <row r="38" spans="16:18">
      <c r="R38" t="s">
        <v>70</v>
      </c>
    </row>
    <row r="39" spans="16:18">
      <c r="R39" t="s">
        <v>71</v>
      </c>
    </row>
    <row r="40" spans="16:18">
      <c r="R40" t="s">
        <v>72</v>
      </c>
    </row>
    <row r="41" spans="16:18">
      <c r="P41" t="s">
        <v>73</v>
      </c>
    </row>
    <row r="42" spans="16:18">
      <c r="P42" t="s">
        <v>74</v>
      </c>
    </row>
    <row r="43" spans="16:18">
      <c r="P43" t="s">
        <v>75</v>
      </c>
    </row>
  </sheetData>
  <mergeCells count="16">
    <mergeCell ref="L6:M7"/>
    <mergeCell ref="N6:N9"/>
    <mergeCell ref="C8:C9"/>
    <mergeCell ref="D8:D9"/>
    <mergeCell ref="F8:F9"/>
    <mergeCell ref="G8:G9"/>
    <mergeCell ref="H8:H9"/>
    <mergeCell ref="J8:J9"/>
    <mergeCell ref="L8:L9"/>
    <mergeCell ref="M8:M9"/>
    <mergeCell ref="C6:D6"/>
    <mergeCell ref="C7:D7"/>
    <mergeCell ref="F6:H6"/>
    <mergeCell ref="F7:H7"/>
    <mergeCell ref="I6:J6"/>
    <mergeCell ref="I7:J7"/>
  </mergeCells>
  <pageMargins left="0.7" right="0.7" top="0.75" bottom="0.75" header="0.3" footer="0.3"/>
  <legacyDrawing r:id="rId1"/>
  <controls>
    <control shapeId="2050" r:id="rId2" name="cmdClearSheet"/>
    <control shapeId="2049" r:id="rId3" name="CommandButton1"/>
  </controls>
</worksheet>
</file>

<file path=xl/worksheets/sheet2.xml><?xml version="1.0" encoding="utf-8"?>
<worksheet xmlns="http://schemas.openxmlformats.org/spreadsheetml/2006/main" xmlns:r="http://schemas.openxmlformats.org/officeDocument/2006/relationships">
  <sheetPr codeName="Sheet2"/>
  <dimension ref="A1:M28"/>
  <sheetViews>
    <sheetView workbookViewId="0">
      <selection activeCell="M28" sqref="A1:M28"/>
    </sheetView>
  </sheetViews>
  <sheetFormatPr defaultRowHeight="14.25"/>
  <cols>
    <col min="3" max="4" width="10.7109375" customWidth="1"/>
    <col min="5" max="5" width="14.28515625" customWidth="1"/>
    <col min="6" max="7" width="13.140625" customWidth="1"/>
    <col min="9" max="10" width="11" customWidth="1"/>
    <col min="14" max="14" width="12" customWidth="1"/>
  </cols>
  <sheetData>
    <row r="1" spans="1:13">
      <c r="A1" s="21"/>
      <c r="B1" s="22"/>
      <c r="C1" s="22"/>
      <c r="D1" s="22"/>
      <c r="E1" s="22"/>
      <c r="F1" s="22"/>
      <c r="G1" s="22"/>
      <c r="H1" s="22"/>
      <c r="I1" s="22"/>
      <c r="J1" s="22"/>
      <c r="K1" s="22"/>
      <c r="L1" s="22"/>
      <c r="M1" s="22"/>
    </row>
    <row r="2" spans="1:13">
      <c r="A2" s="19"/>
      <c r="B2" s="19"/>
      <c r="C2" s="19"/>
      <c r="D2" s="19"/>
      <c r="E2" s="19"/>
      <c r="F2" s="19"/>
      <c r="G2" s="19"/>
      <c r="H2" s="19"/>
      <c r="I2" s="19"/>
      <c r="J2" s="19"/>
      <c r="K2" s="19"/>
      <c r="L2" s="19"/>
      <c r="M2" s="19"/>
    </row>
    <row r="3" spans="1:13">
      <c r="A3" s="19"/>
      <c r="B3" s="19"/>
      <c r="C3" s="19"/>
      <c r="D3" s="19"/>
      <c r="E3" s="19"/>
      <c r="F3" s="19"/>
      <c r="G3" s="19"/>
      <c r="H3" s="19"/>
      <c r="I3" s="19"/>
      <c r="J3" s="19"/>
      <c r="K3" s="19"/>
      <c r="L3" s="19"/>
      <c r="M3" s="19"/>
    </row>
    <row r="4" spans="1:13">
      <c r="A4" s="19"/>
      <c r="B4" s="19"/>
      <c r="C4" s="19"/>
      <c r="D4" s="19"/>
      <c r="E4" s="19"/>
      <c r="F4" s="19"/>
      <c r="G4" s="19"/>
      <c r="H4" s="19"/>
      <c r="I4" s="19"/>
      <c r="J4" s="19"/>
      <c r="K4" s="19"/>
      <c r="L4" s="19"/>
      <c r="M4" s="19"/>
    </row>
    <row r="5" spans="1:13">
      <c r="A5" s="19"/>
      <c r="B5" s="19"/>
      <c r="C5" s="19"/>
      <c r="D5" s="19"/>
      <c r="E5" s="19"/>
      <c r="F5" s="19"/>
      <c r="G5" s="19"/>
      <c r="H5" s="19"/>
      <c r="I5" s="19"/>
      <c r="J5" s="19"/>
      <c r="K5" s="19"/>
      <c r="L5" s="19"/>
      <c r="M5" s="19"/>
    </row>
    <row r="6" spans="1:13">
      <c r="A6" s="25"/>
      <c r="B6" s="20"/>
      <c r="C6" s="20"/>
      <c r="D6" s="20"/>
      <c r="E6" s="20"/>
      <c r="F6" s="20"/>
      <c r="G6" s="20"/>
      <c r="H6" s="20"/>
      <c r="I6" s="20"/>
      <c r="J6" s="20"/>
      <c r="K6" s="20"/>
      <c r="L6" s="20"/>
      <c r="M6" s="20"/>
    </row>
    <row r="7" spans="1:13">
      <c r="A7" s="20"/>
      <c r="B7" s="20"/>
      <c r="C7" s="20"/>
      <c r="D7" s="20"/>
      <c r="E7" s="20"/>
      <c r="F7" s="20"/>
      <c r="G7" s="20"/>
      <c r="H7" s="20"/>
      <c r="I7" s="20"/>
      <c r="J7" s="20"/>
      <c r="K7" s="20"/>
      <c r="L7" s="20"/>
      <c r="M7" s="20"/>
    </row>
    <row r="8" spans="1:13">
      <c r="A8" s="25"/>
      <c r="B8" s="20"/>
      <c r="C8" s="20"/>
      <c r="D8" s="20"/>
      <c r="E8" s="20"/>
      <c r="F8" s="20"/>
      <c r="G8" s="20"/>
      <c r="H8" s="20"/>
      <c r="I8" s="20"/>
      <c r="J8" s="20"/>
      <c r="K8" s="20"/>
      <c r="L8" s="20"/>
      <c r="M8" s="20"/>
    </row>
    <row r="9" spans="1:13">
      <c r="A9" s="20"/>
      <c r="B9" s="20"/>
      <c r="C9" s="20"/>
      <c r="D9" s="20"/>
      <c r="E9" s="20"/>
      <c r="F9" s="20"/>
      <c r="G9" s="20"/>
      <c r="H9" s="20"/>
      <c r="I9" s="20"/>
      <c r="J9" s="20"/>
      <c r="K9" s="20"/>
      <c r="L9" s="20"/>
      <c r="M9" s="20"/>
    </row>
    <row r="10" spans="1:13">
      <c r="A10" s="20"/>
      <c r="B10" s="20"/>
      <c r="C10" s="20"/>
      <c r="D10" s="20"/>
      <c r="E10" s="20"/>
      <c r="F10" s="20"/>
      <c r="G10" s="20"/>
      <c r="H10" s="20"/>
      <c r="I10" s="20"/>
      <c r="J10" s="20"/>
      <c r="K10" s="20"/>
      <c r="L10" s="20"/>
      <c r="M10" s="20"/>
    </row>
    <row r="11" spans="1:13">
      <c r="A11" s="20"/>
      <c r="B11" s="20"/>
      <c r="C11" s="20"/>
      <c r="D11" s="20"/>
      <c r="E11" s="20"/>
      <c r="F11" s="20"/>
      <c r="G11" s="20"/>
      <c r="H11" s="20"/>
      <c r="I11" s="20"/>
      <c r="J11" s="20"/>
      <c r="K11" s="20"/>
      <c r="L11" s="20"/>
      <c r="M11" s="20"/>
    </row>
    <row r="12" spans="1:13">
      <c r="A12" s="20"/>
      <c r="B12" s="20"/>
      <c r="C12" s="20"/>
      <c r="D12" s="20"/>
      <c r="E12" s="20"/>
      <c r="F12" s="20"/>
      <c r="G12" s="20"/>
      <c r="H12" s="20"/>
      <c r="I12" s="20"/>
      <c r="J12" s="20"/>
      <c r="K12" s="20"/>
      <c r="L12" s="20"/>
      <c r="M12" s="20"/>
    </row>
    <row r="13" spans="1:13">
      <c r="A13" s="20"/>
      <c r="B13" s="20"/>
      <c r="C13" s="20"/>
      <c r="D13" s="20"/>
      <c r="E13" s="20"/>
      <c r="F13" s="20"/>
      <c r="G13" s="20"/>
      <c r="H13" s="20"/>
      <c r="I13" s="20"/>
      <c r="J13" s="20"/>
      <c r="K13" s="20"/>
      <c r="L13" s="20"/>
      <c r="M13" s="20"/>
    </row>
    <row r="14" spans="1:13">
      <c r="A14" s="20"/>
      <c r="B14" s="20"/>
      <c r="C14" s="20"/>
      <c r="D14" s="20"/>
      <c r="E14" s="20"/>
      <c r="F14" s="20"/>
      <c r="G14" s="20"/>
      <c r="H14" s="20"/>
      <c r="I14" s="20"/>
      <c r="J14" s="20"/>
      <c r="K14" s="20"/>
      <c r="L14" s="20"/>
      <c r="M14" s="20"/>
    </row>
    <row r="15" spans="1:13">
      <c r="A15" s="20"/>
      <c r="B15" s="20"/>
      <c r="C15" s="20"/>
      <c r="D15" s="20"/>
      <c r="E15" s="20"/>
      <c r="F15" s="20"/>
      <c r="G15" s="20"/>
      <c r="H15" s="20"/>
      <c r="I15" s="20"/>
      <c r="J15" s="20"/>
      <c r="K15" s="20"/>
      <c r="L15" s="20"/>
      <c r="M15" s="20"/>
    </row>
    <row r="16" spans="1:13">
      <c r="A16" s="20"/>
      <c r="B16" s="20"/>
      <c r="C16" s="20"/>
      <c r="D16" s="20"/>
      <c r="E16" s="20"/>
      <c r="F16" s="20"/>
      <c r="G16" s="20"/>
      <c r="H16" s="20"/>
      <c r="I16" s="20"/>
      <c r="J16" s="20"/>
      <c r="K16" s="20"/>
      <c r="L16" s="20"/>
      <c r="M16" s="20"/>
    </row>
    <row r="17" spans="1:13">
      <c r="A17" s="20"/>
      <c r="B17" s="20"/>
      <c r="C17" s="20"/>
      <c r="D17" s="20"/>
      <c r="E17" s="20"/>
      <c r="F17" s="20"/>
      <c r="G17" s="20"/>
      <c r="H17" s="20"/>
      <c r="I17" s="20"/>
      <c r="J17" s="20"/>
      <c r="K17" s="20"/>
      <c r="L17" s="20"/>
      <c r="M17" s="20"/>
    </row>
    <row r="18" spans="1:13">
      <c r="A18" s="20"/>
      <c r="B18" s="20"/>
      <c r="C18" s="20"/>
      <c r="D18" s="20"/>
      <c r="E18" s="20"/>
      <c r="F18" s="20"/>
      <c r="G18" s="20"/>
      <c r="H18" s="20"/>
      <c r="I18" s="20"/>
      <c r="J18" s="20"/>
      <c r="K18" s="20"/>
      <c r="L18" s="20"/>
      <c r="M18" s="20"/>
    </row>
    <row r="19" spans="1:13">
      <c r="A19" s="20"/>
      <c r="B19" s="20"/>
      <c r="C19" s="20"/>
      <c r="D19" s="20"/>
      <c r="E19" s="20"/>
      <c r="F19" s="20"/>
      <c r="G19" s="20"/>
      <c r="H19" s="20"/>
      <c r="I19" s="20"/>
      <c r="J19" s="20"/>
      <c r="K19" s="20"/>
      <c r="L19" s="20"/>
      <c r="M19" s="20"/>
    </row>
    <row r="20" spans="1:13">
      <c r="A20" s="20"/>
      <c r="B20" s="20"/>
      <c r="C20" s="20"/>
      <c r="D20" s="20"/>
      <c r="E20" s="20"/>
      <c r="F20" s="20"/>
      <c r="G20" s="20"/>
      <c r="H20" s="20"/>
      <c r="I20" s="20"/>
      <c r="J20" s="20"/>
      <c r="K20" s="20"/>
      <c r="L20" s="20"/>
      <c r="M20" s="20"/>
    </row>
    <row r="21" spans="1:13">
      <c r="A21" s="20"/>
      <c r="B21" s="20"/>
      <c r="C21" s="20"/>
      <c r="D21" s="20"/>
      <c r="E21" s="20"/>
      <c r="F21" s="20"/>
      <c r="G21" s="20"/>
      <c r="H21" s="20"/>
      <c r="I21" s="20"/>
      <c r="J21" s="20"/>
      <c r="K21" s="20"/>
      <c r="L21" s="20"/>
      <c r="M21" s="20"/>
    </row>
    <row r="22" spans="1:13">
      <c r="A22" s="20"/>
      <c r="B22" s="20"/>
      <c r="C22" s="20"/>
      <c r="D22" s="20"/>
      <c r="E22" s="20"/>
      <c r="F22" s="20"/>
      <c r="G22" s="20"/>
      <c r="H22" s="20"/>
      <c r="I22" s="20"/>
      <c r="J22" s="20"/>
      <c r="K22" s="20"/>
      <c r="L22" s="20"/>
      <c r="M22" s="20"/>
    </row>
    <row r="23" spans="1:13">
      <c r="A23" s="20"/>
      <c r="B23" s="20"/>
      <c r="C23" s="20"/>
      <c r="D23" s="20"/>
      <c r="E23" s="20"/>
      <c r="F23" s="20"/>
      <c r="G23" s="20"/>
      <c r="H23" s="20"/>
      <c r="I23" s="20"/>
      <c r="J23" s="20"/>
      <c r="K23" s="20"/>
      <c r="L23" s="20"/>
      <c r="M23" s="20"/>
    </row>
    <row r="24" spans="1:13">
      <c r="A24" s="20"/>
      <c r="B24" s="20"/>
      <c r="C24" s="20"/>
      <c r="D24" s="20"/>
      <c r="E24" s="20"/>
      <c r="F24" s="20"/>
      <c r="G24" s="20"/>
      <c r="H24" s="20"/>
      <c r="I24" s="20"/>
      <c r="J24" s="20"/>
      <c r="K24" s="20"/>
      <c r="L24" s="20"/>
      <c r="M24" s="20"/>
    </row>
    <row r="25" spans="1:13">
      <c r="A25" s="20"/>
      <c r="B25" s="20"/>
      <c r="C25" s="20"/>
      <c r="D25" s="20"/>
      <c r="E25" s="20"/>
      <c r="F25" s="20"/>
      <c r="G25" s="20"/>
      <c r="H25" s="20"/>
      <c r="I25" s="20"/>
      <c r="J25" s="20"/>
      <c r="K25" s="20"/>
      <c r="L25" s="20"/>
      <c r="M25" s="20"/>
    </row>
    <row r="26" spans="1:13">
      <c r="A26" s="20"/>
      <c r="B26" s="20"/>
      <c r="C26" s="20"/>
      <c r="D26" s="20"/>
      <c r="E26" s="20"/>
      <c r="F26" s="20"/>
      <c r="G26" s="20"/>
      <c r="H26" s="20"/>
      <c r="I26" s="20"/>
      <c r="J26" s="20"/>
      <c r="K26" s="20"/>
      <c r="L26" s="20"/>
      <c r="M26" s="20"/>
    </row>
    <row r="27" spans="1:13">
      <c r="A27" s="20"/>
      <c r="B27" s="20"/>
      <c r="C27" s="20"/>
      <c r="D27" s="20"/>
      <c r="E27" s="20"/>
      <c r="F27" s="20"/>
      <c r="G27" s="20"/>
      <c r="H27" s="20"/>
      <c r="I27" s="20"/>
      <c r="J27" s="20"/>
      <c r="K27" s="20"/>
      <c r="L27" s="20"/>
      <c r="M27" s="20"/>
    </row>
    <row r="28" spans="1:13">
      <c r="A28" s="20"/>
      <c r="B28" s="20"/>
      <c r="C28" s="20"/>
      <c r="D28" s="20"/>
      <c r="E28" s="20"/>
      <c r="F28" s="20"/>
      <c r="G28" s="20"/>
      <c r="H28" s="20"/>
      <c r="I28" s="20"/>
      <c r="J28" s="20"/>
      <c r="K28" s="20"/>
      <c r="L28" s="20"/>
      <c r="M28" s="20"/>
    </row>
  </sheetData>
  <mergeCells count="1">
    <mergeCell ref="A1:M1"/>
  </mergeCells>
  <pageMargins left="0.7" right="0.7" top="0.75" bottom="0.75" header="0.3" footer="0.3"/>
  <pageSetup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C1:E3"/>
  <sheetViews>
    <sheetView workbookViewId="0">
      <selection activeCell="F45" sqref="F45"/>
    </sheetView>
  </sheetViews>
  <sheetFormatPr defaultRowHeight="14.25"/>
  <cols>
    <col min="3" max="3" width="18.42578125" style="27" customWidth="1"/>
  </cols>
  <sheetData>
    <row r="1" spans="3:5">
      <c r="C1" s="27" t="s">
        <v>76</v>
      </c>
    </row>
    <row r="2" spans="3:5">
      <c r="C2" s="27" t="s">
        <v>77</v>
      </c>
    </row>
    <row r="3" spans="3:5">
      <c r="E3" s="26" t="str">
        <f>"&lt;p&gt;"&amp;C3&amp;"&lt;/p&gt;"</f>
        <v>&lt;p&gt;&lt;/p&gt;</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E2"/>
  <sheetViews>
    <sheetView tabSelected="1" workbookViewId="0">
      <selection activeCell="D23" sqref="D23"/>
    </sheetView>
  </sheetViews>
  <sheetFormatPr defaultRowHeight="14.25"/>
  <cols>
    <col min="1" max="5" width="28.7109375" customWidth="1"/>
  </cols>
  <sheetData>
    <row r="1" spans="1:5" ht="35.200000000000003">
      <c r="A1" s="28" t="str">
        <f>IF(LEFT(D1,4)="&lt;h4&gt;","&lt;li&gt;&lt;a href='#"&amp;MID(D1,5,10)&amp;"'&gt;"&amp;MID(D1,5,LEN(E1))&amp;"&lt;/a&gt;&lt;/li&gt;","")</f>
        <v>&lt;li&gt;&lt;a href='#浏览ASPE分会的网'&gt;浏览ASPE分会的网页增加知识&lt;/a&gt;&lt;/li&gt;</v>
      </c>
      <c r="B1" s="29" t="str">
        <f t="shared" ref="B1:B2" si="0">IF(LEFT(D1,4)="&lt;h4&gt;", A1,D1)</f>
        <v>&lt;li&gt;&lt;a href='#浏览ASPE分会的网'&gt;浏览ASPE分会的网页增加知识&lt;/a&gt;&lt;/li&gt;</v>
      </c>
      <c r="C1" s="28" t="str">
        <f>IF(LEFT(D1,4)="&lt;h4&gt;","&lt;h4 id='"&amp;LEFT(E1,10)&amp;"'&gt;"&amp;E1&amp;"&lt;/h4&gt;",D1)</f>
        <v>&lt;h4 id='浏览ASPE分会的网'&gt;浏览ASPE分会的网页增加知识&lt;/h4&gt;</v>
      </c>
      <c r="D1" s="29" t="str">
        <f>"&lt;h4&gt;"&amp;E1&amp;"&lt;/h4&gt;"</f>
        <v>&lt;h4&gt;浏览ASPE分会的网页增加知识&lt;/h4&gt;</v>
      </c>
      <c r="E1" s="30" t="s">
        <v>78</v>
      </c>
    </row>
    <row r="2" spans="1:5" ht="117.25">
      <c r="A2" s="28" t="str">
        <f t="shared" ref="A2" si="1">IF(LEFT(D2,4)="&lt;h4&gt;","&lt;li&gt;&lt;a href='#"&amp;MID(D2,5,10)&amp;"'&gt;"&amp;MID(D2,5,LEN(E2))&amp;"&lt;/a&gt;&lt;/li&gt;","")</f>
        <v/>
      </c>
      <c r="B2" s="29" t="str">
        <f t="shared" si="0"/>
        <v>&lt;p&gt;Many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href="http://www.aspe.org/chapterevents"&gt;（阅读原文）&lt;/a&gt;&lt;/p&gt;</v>
      </c>
      <c r="C2" s="28" t="str">
        <f t="shared" ref="C2" si="2">IF(LEFT(D2,4)="&lt;h4&gt;","&lt;h4 id='"&amp;LEFT(E2,10)&amp;"'&gt;"&amp;E2&amp;"&lt;/h4&gt;",D2)</f>
        <v>&lt;p&gt;Many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href="http://www.aspe.org/chapterevents"&gt;（阅读原文）&lt;/a&gt;&lt;/p&gt;</v>
      </c>
      <c r="D2" s="29" t="str">
        <f>"&lt;p&gt;"&amp;E2&amp;"&lt;/p&gt;"</f>
        <v>&lt;p&gt;Many ASPE Chapters are offering design seminars, plumbing product tradeshows, and fun networking outings this spring, including the Pumping Systems Design Seminar in New Orleans, the Medical Gas Training Seminar in Detroit, and the West Coast Florida Sporting Clay Shoot. Check out our local events webpage to find out what's being held in your area. &lt;a href="http://www.aspe.org/chapterevents"&gt;（阅读原文）&lt;/a&gt;&lt;/p&gt;</v>
      </c>
      <c r="E2" s="31" t="s">
        <v>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Table-html</vt:lpstr>
      <vt:lpstr>Table Review</vt:lpstr>
      <vt:lpstr>Simple Paragraphs</vt:lpstr>
      <vt:lpstr>News with bookmarks</vt:lpstr>
      <vt:lpstr>rgCaption</vt:lpstr>
      <vt:lpstr>rgHeader</vt:lpstr>
      <vt:lpstr>rgTable</vt:lpstr>
      <vt:lpstr>rgValues</vt:lpstr>
    </vt:vector>
  </TitlesOfParts>
  <Company>Affiliated Engineers Metro DC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Your User Name</dc:creator>
  <cp:lastModifiedBy>Your User Name</cp:lastModifiedBy>
  <dcterms:created xsi:type="dcterms:W3CDTF">2013-01-21T17:00:50Z</dcterms:created>
  <dcterms:modified xsi:type="dcterms:W3CDTF">2013-01-30T22:13:19Z</dcterms:modified>
</cp:coreProperties>
</file>